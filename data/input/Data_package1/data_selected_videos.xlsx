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atom.biocev.org\BTU\BTU_36\Adela\data_for_Michal\"/>
    </mc:Choice>
  </mc:AlternateContent>
  <xr:revisionPtr revIDLastSave="0" documentId="8_{90EA7F9D-01A7-48AE-8F03-A7CC64F75A74}" xr6:coauthVersionLast="47" xr6:coauthVersionMax="47" xr10:uidLastSave="{00000000-0000-0000-0000-000000000000}"/>
  <bookViews>
    <workbookView xWindow="-120" yWindow="-120" windowWidth="29040" windowHeight="15840" activeTab="3" xr2:uid="{585370DB-E3F0-4761-9B18-18C1427C37F6}"/>
  </bookViews>
  <sheets>
    <sheet name="HEPES" sheetId="1" r:id="rId1"/>
    <sheet name="MES" sheetId="2" r:id="rId2"/>
    <sheet name="MES_HEPES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9" i="4" l="1"/>
  <c r="Q49" i="4"/>
  <c r="O49" i="4"/>
  <c r="M49" i="4"/>
  <c r="S48" i="4"/>
  <c r="Q48" i="4"/>
  <c r="O48" i="4"/>
  <c r="M48" i="4"/>
  <c r="S47" i="4"/>
  <c r="Q47" i="4"/>
  <c r="O47" i="4"/>
  <c r="M47" i="4"/>
  <c r="S46" i="4"/>
  <c r="Q46" i="4"/>
  <c r="O46" i="4"/>
  <c r="M46" i="4"/>
  <c r="S45" i="4"/>
  <c r="Q45" i="4"/>
  <c r="O45" i="4"/>
  <c r="M45" i="4"/>
  <c r="S44" i="4"/>
  <c r="Q44" i="4"/>
  <c r="O44" i="4"/>
  <c r="M44" i="4"/>
  <c r="S43" i="4"/>
  <c r="Q43" i="4"/>
  <c r="O43" i="4"/>
  <c r="M43" i="4"/>
  <c r="S42" i="4"/>
  <c r="Q42" i="4"/>
  <c r="O42" i="4"/>
  <c r="M42" i="4"/>
  <c r="S41" i="4"/>
  <c r="Q41" i="4"/>
  <c r="O41" i="4"/>
  <c r="M41" i="4"/>
  <c r="S40" i="4"/>
  <c r="Q40" i="4"/>
  <c r="O40" i="4"/>
  <c r="M40" i="4"/>
  <c r="S39" i="4"/>
  <c r="O39" i="4"/>
  <c r="M39" i="4"/>
  <c r="S38" i="4"/>
  <c r="Q38" i="4"/>
  <c r="O38" i="4"/>
  <c r="M38" i="4"/>
  <c r="S37" i="4"/>
  <c r="Q37" i="4"/>
  <c r="O37" i="4"/>
  <c r="M37" i="4"/>
  <c r="S36" i="4"/>
  <c r="Q36" i="4"/>
  <c r="O36" i="4"/>
  <c r="M36" i="4"/>
  <c r="S35" i="4"/>
  <c r="Q35" i="4"/>
  <c r="O35" i="4"/>
  <c r="M35" i="4"/>
  <c r="S34" i="4"/>
  <c r="Q34" i="4"/>
  <c r="O34" i="4"/>
  <c r="M34" i="4"/>
  <c r="S33" i="4"/>
  <c r="Q33" i="4"/>
  <c r="O33" i="4"/>
  <c r="M33" i="4"/>
  <c r="S32" i="4"/>
  <c r="Q32" i="4"/>
  <c r="O32" i="4"/>
  <c r="M32" i="4"/>
  <c r="S31" i="4"/>
  <c r="Q31" i="4"/>
  <c r="O31" i="4"/>
  <c r="M31" i="4"/>
  <c r="S30" i="4"/>
  <c r="Q30" i="4"/>
  <c r="O30" i="4"/>
  <c r="M30" i="4"/>
  <c r="S29" i="4"/>
  <c r="Q29" i="4"/>
  <c r="O29" i="4"/>
  <c r="M29" i="4"/>
  <c r="S28" i="4"/>
  <c r="Q28" i="4"/>
  <c r="O28" i="4"/>
  <c r="M28" i="4"/>
  <c r="S27" i="4"/>
  <c r="Q27" i="4"/>
  <c r="O27" i="4"/>
  <c r="M27" i="4"/>
  <c r="S26" i="4"/>
  <c r="Q26" i="4"/>
  <c r="O26" i="4"/>
  <c r="M26" i="4"/>
  <c r="S25" i="4"/>
  <c r="Q25" i="4"/>
  <c r="O25" i="4"/>
  <c r="M25" i="4"/>
  <c r="S24" i="4"/>
  <c r="Q24" i="4"/>
  <c r="S23" i="4"/>
  <c r="Q23" i="4"/>
  <c r="O23" i="4"/>
  <c r="M23" i="4"/>
  <c r="S22" i="4"/>
  <c r="Q22" i="4"/>
  <c r="O22" i="4"/>
  <c r="M22" i="4"/>
  <c r="S21" i="4"/>
  <c r="Q21" i="4"/>
  <c r="O21" i="4"/>
  <c r="M21" i="4"/>
  <c r="S20" i="4"/>
  <c r="Q20" i="4"/>
  <c r="O20" i="4"/>
  <c r="M20" i="4"/>
  <c r="S19" i="4"/>
  <c r="Q19" i="4"/>
  <c r="O19" i="4"/>
  <c r="M19" i="4"/>
  <c r="S18" i="4"/>
  <c r="Q18" i="4"/>
  <c r="O18" i="4"/>
  <c r="M18" i="4"/>
  <c r="S17" i="4"/>
  <c r="Q17" i="4"/>
  <c r="O17" i="4"/>
  <c r="M17" i="4"/>
  <c r="K17" i="4"/>
  <c r="S16" i="4"/>
  <c r="Q16" i="4"/>
  <c r="O16" i="4"/>
  <c r="M16" i="4"/>
  <c r="K16" i="4"/>
  <c r="S15" i="4"/>
  <c r="Q15" i="4"/>
  <c r="O15" i="4"/>
  <c r="M15" i="4"/>
  <c r="K15" i="4"/>
  <c r="O14" i="4"/>
  <c r="M14" i="4"/>
  <c r="K14" i="4"/>
  <c r="S13" i="4"/>
  <c r="Q13" i="4"/>
  <c r="O13" i="4"/>
  <c r="M13" i="4"/>
  <c r="K13" i="4"/>
  <c r="S12" i="4"/>
  <c r="Q12" i="4"/>
  <c r="O12" i="4"/>
  <c r="M12" i="4"/>
  <c r="K12" i="4"/>
  <c r="S11" i="4"/>
  <c r="Q11" i="4"/>
  <c r="O11" i="4"/>
  <c r="M11" i="4"/>
  <c r="K11" i="4"/>
  <c r="S10" i="4"/>
  <c r="Q10" i="4"/>
  <c r="O10" i="4"/>
  <c r="M10" i="4"/>
  <c r="K10" i="4"/>
  <c r="S9" i="4"/>
  <c r="Q9" i="4"/>
  <c r="O9" i="4"/>
  <c r="M9" i="4"/>
  <c r="K9" i="4"/>
  <c r="S8" i="4"/>
  <c r="Q8" i="4"/>
  <c r="O8" i="4"/>
  <c r="M8" i="4"/>
  <c r="K8" i="4"/>
  <c r="S7" i="4"/>
  <c r="Q7" i="4"/>
  <c r="O7" i="4"/>
  <c r="M7" i="4"/>
  <c r="K7" i="4"/>
  <c r="S6" i="4"/>
  <c r="Q6" i="4"/>
  <c r="O6" i="4"/>
  <c r="M6" i="4"/>
  <c r="K6" i="4"/>
  <c r="S5" i="4"/>
  <c r="Q5" i="4"/>
  <c r="O5" i="4"/>
  <c r="M5" i="4"/>
  <c r="K5" i="4"/>
  <c r="S4" i="4"/>
  <c r="Q4" i="4"/>
  <c r="O4" i="4"/>
  <c r="M4" i="4"/>
  <c r="K4" i="4"/>
  <c r="S3" i="4"/>
  <c r="Q3" i="4"/>
  <c r="O3" i="4"/>
  <c r="M3" i="4"/>
  <c r="S2" i="4"/>
  <c r="Q2" i="4"/>
  <c r="O2" i="4"/>
  <c r="M2" i="4"/>
  <c r="K2" i="4"/>
  <c r="I17" i="4"/>
  <c r="E17" i="4"/>
  <c r="I16" i="4"/>
  <c r="E16" i="4"/>
  <c r="I15" i="4"/>
  <c r="E15" i="4"/>
  <c r="I14" i="4"/>
  <c r="E14" i="4"/>
  <c r="I13" i="4"/>
  <c r="E13" i="4"/>
  <c r="I12" i="4"/>
  <c r="E12" i="4"/>
  <c r="I11" i="4"/>
  <c r="E11" i="4"/>
  <c r="I10" i="4"/>
  <c r="E10" i="4"/>
  <c r="I9" i="4"/>
  <c r="E9" i="4"/>
  <c r="I8" i="4"/>
  <c r="E8" i="4"/>
  <c r="I7" i="4"/>
  <c r="E7" i="4"/>
  <c r="I6" i="4"/>
  <c r="E6" i="4"/>
  <c r="I5" i="4"/>
  <c r="E5" i="4"/>
  <c r="I4" i="4"/>
  <c r="E4" i="4"/>
  <c r="I3" i="4"/>
  <c r="E3" i="4"/>
  <c r="I2" i="4"/>
  <c r="E2" i="4"/>
  <c r="G64" i="4"/>
  <c r="E64" i="4"/>
  <c r="I63" i="4"/>
  <c r="G63" i="4"/>
  <c r="E63" i="4"/>
  <c r="I62" i="4"/>
  <c r="G62" i="4"/>
  <c r="E62" i="4"/>
  <c r="I61" i="4"/>
  <c r="G61" i="4"/>
  <c r="E61" i="4"/>
  <c r="I60" i="4"/>
  <c r="G60" i="4"/>
  <c r="E60" i="4"/>
  <c r="I59" i="4"/>
  <c r="G59" i="4"/>
  <c r="E59" i="4"/>
  <c r="I58" i="4"/>
  <c r="G58" i="4"/>
  <c r="E58" i="4"/>
  <c r="I57" i="4"/>
  <c r="G57" i="4"/>
  <c r="E57" i="4"/>
  <c r="I56" i="4"/>
  <c r="G56" i="4"/>
  <c r="E56" i="4"/>
  <c r="I55" i="4"/>
  <c r="G55" i="4"/>
  <c r="E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Z17" i="3"/>
  <c r="W17" i="3"/>
  <c r="T17" i="3"/>
  <c r="Q17" i="3"/>
  <c r="N17" i="3"/>
  <c r="K17" i="3"/>
  <c r="E17" i="3"/>
  <c r="Z16" i="3"/>
  <c r="W16" i="3"/>
  <c r="T16" i="3"/>
  <c r="Q16" i="3"/>
  <c r="N16" i="3"/>
  <c r="K16" i="3"/>
  <c r="E16" i="3"/>
  <c r="Z15" i="3"/>
  <c r="W15" i="3"/>
  <c r="T15" i="3"/>
  <c r="Q15" i="3"/>
  <c r="N15" i="3"/>
  <c r="K15" i="3"/>
  <c r="E15" i="3"/>
  <c r="T14" i="3"/>
  <c r="Q14" i="3"/>
  <c r="N14" i="3"/>
  <c r="K14" i="3"/>
  <c r="E14" i="3"/>
  <c r="Z13" i="3"/>
  <c r="W13" i="3"/>
  <c r="T13" i="3"/>
  <c r="Q13" i="3"/>
  <c r="N13" i="3"/>
  <c r="K13" i="3"/>
  <c r="E13" i="3"/>
  <c r="Z12" i="3"/>
  <c r="W12" i="3"/>
  <c r="T12" i="3"/>
  <c r="Q12" i="3"/>
  <c r="N12" i="3"/>
  <c r="K12" i="3"/>
  <c r="E12" i="3"/>
  <c r="Z11" i="3"/>
  <c r="W11" i="3"/>
  <c r="T11" i="3"/>
  <c r="Q11" i="3"/>
  <c r="N11" i="3"/>
  <c r="K11" i="3"/>
  <c r="E11" i="3"/>
  <c r="Z10" i="3"/>
  <c r="W10" i="3"/>
  <c r="T10" i="3"/>
  <c r="Q10" i="3"/>
  <c r="N10" i="3"/>
  <c r="K10" i="3"/>
  <c r="E10" i="3"/>
  <c r="Z9" i="3"/>
  <c r="W9" i="3"/>
  <c r="T9" i="3"/>
  <c r="Q9" i="3"/>
  <c r="N9" i="3"/>
  <c r="K9" i="3"/>
  <c r="E9" i="3"/>
  <c r="Z8" i="3"/>
  <c r="W8" i="3"/>
  <c r="T8" i="3"/>
  <c r="Q8" i="3"/>
  <c r="N8" i="3"/>
  <c r="K8" i="3"/>
  <c r="E8" i="3"/>
  <c r="Z7" i="3"/>
  <c r="W7" i="3"/>
  <c r="T7" i="3"/>
  <c r="Q7" i="3"/>
  <c r="N7" i="3"/>
  <c r="K7" i="3"/>
  <c r="E7" i="3"/>
  <c r="Z6" i="3"/>
  <c r="W6" i="3"/>
  <c r="T6" i="3"/>
  <c r="Q6" i="3"/>
  <c r="N6" i="3"/>
  <c r="K6" i="3"/>
  <c r="E6" i="3"/>
  <c r="Z5" i="3"/>
  <c r="W5" i="3"/>
  <c r="T5" i="3"/>
  <c r="Q5" i="3"/>
  <c r="N5" i="3"/>
  <c r="K5" i="3"/>
  <c r="E5" i="3"/>
  <c r="Z4" i="3"/>
  <c r="W4" i="3"/>
  <c r="T4" i="3"/>
  <c r="Q4" i="3"/>
  <c r="N4" i="3"/>
  <c r="K4" i="3"/>
  <c r="E4" i="3"/>
  <c r="Z3" i="3"/>
  <c r="W3" i="3"/>
  <c r="T3" i="3"/>
  <c r="Q3" i="3"/>
  <c r="K3" i="3"/>
  <c r="E3" i="3"/>
  <c r="Z2" i="3"/>
  <c r="W2" i="3"/>
  <c r="T2" i="3"/>
  <c r="Q2" i="3"/>
  <c r="N2" i="3"/>
  <c r="K2" i="3"/>
  <c r="E2" i="3"/>
  <c r="H16" i="2"/>
  <c r="E16" i="2"/>
  <c r="K15" i="2"/>
  <c r="H15" i="2"/>
  <c r="E15" i="2"/>
  <c r="K14" i="2"/>
  <c r="H14" i="2"/>
  <c r="E14" i="2"/>
  <c r="K13" i="2"/>
  <c r="H13" i="2"/>
  <c r="E13" i="2"/>
  <c r="K12" i="2"/>
  <c r="H12" i="2"/>
  <c r="E12" i="2"/>
  <c r="K11" i="2"/>
  <c r="H11" i="2"/>
  <c r="E11" i="2"/>
  <c r="K10" i="2"/>
  <c r="H10" i="2"/>
  <c r="E10" i="2"/>
  <c r="K9" i="2"/>
  <c r="H9" i="2"/>
  <c r="E9" i="2"/>
  <c r="K8" i="2"/>
  <c r="H8" i="2"/>
  <c r="E8" i="2"/>
  <c r="K7" i="2"/>
  <c r="H7" i="2"/>
  <c r="E7" i="2"/>
  <c r="K6" i="2"/>
  <c r="H6" i="2"/>
  <c r="E6" i="2"/>
  <c r="K5" i="2"/>
  <c r="H5" i="2"/>
  <c r="E5" i="2"/>
  <c r="K4" i="2"/>
  <c r="H4" i="2"/>
  <c r="E4" i="2"/>
  <c r="K3" i="2"/>
  <c r="H3" i="2"/>
  <c r="E3" i="2"/>
  <c r="K2" i="2"/>
  <c r="H2" i="2"/>
  <c r="E2" i="2"/>
  <c r="Q33" i="1"/>
  <c r="N33" i="1"/>
  <c r="K33" i="1"/>
  <c r="H33" i="1"/>
  <c r="Q32" i="1"/>
  <c r="N32" i="1"/>
  <c r="K32" i="1"/>
  <c r="H32" i="1"/>
  <c r="Q31" i="1"/>
  <c r="N31" i="1"/>
  <c r="K31" i="1"/>
  <c r="H31" i="1"/>
  <c r="Q30" i="1"/>
  <c r="N30" i="1"/>
  <c r="K30" i="1"/>
  <c r="H30" i="1"/>
  <c r="Q29" i="1"/>
  <c r="N29" i="1"/>
  <c r="K29" i="1"/>
  <c r="H29" i="1"/>
  <c r="Q28" i="1"/>
  <c r="N28" i="1"/>
  <c r="K28" i="1"/>
  <c r="H28" i="1"/>
  <c r="Q27" i="1"/>
  <c r="N27" i="1"/>
  <c r="K27" i="1"/>
  <c r="H27" i="1"/>
  <c r="Q26" i="1"/>
  <c r="N26" i="1"/>
  <c r="K26" i="1"/>
  <c r="H26" i="1"/>
  <c r="Q25" i="1"/>
  <c r="N25" i="1"/>
  <c r="K25" i="1"/>
  <c r="H25" i="1"/>
  <c r="Q24" i="1"/>
  <c r="N24" i="1"/>
  <c r="K24" i="1"/>
  <c r="H24" i="1"/>
  <c r="Q23" i="1"/>
  <c r="K23" i="1"/>
  <c r="H23" i="1"/>
  <c r="Q22" i="1"/>
  <c r="N22" i="1"/>
  <c r="K22" i="1"/>
  <c r="H22" i="1"/>
  <c r="Q21" i="1"/>
  <c r="N21" i="1"/>
  <c r="K21" i="1"/>
  <c r="H21" i="1"/>
  <c r="Q20" i="1"/>
  <c r="N20" i="1"/>
  <c r="K20" i="1"/>
  <c r="H20" i="1"/>
  <c r="Q19" i="1"/>
  <c r="N19" i="1"/>
  <c r="K19" i="1"/>
  <c r="H19" i="1"/>
  <c r="Q18" i="1"/>
  <c r="N18" i="1"/>
  <c r="K18" i="1"/>
  <c r="H18" i="1"/>
  <c r="Q17" i="1"/>
  <c r="N17" i="1"/>
  <c r="K17" i="1"/>
  <c r="H17" i="1"/>
  <c r="Q16" i="1"/>
  <c r="N16" i="1"/>
  <c r="K16" i="1"/>
  <c r="H16" i="1"/>
  <c r="Q15" i="1"/>
  <c r="N15" i="1"/>
  <c r="K15" i="1"/>
  <c r="H15" i="1"/>
  <c r="Q14" i="1"/>
  <c r="N14" i="1"/>
  <c r="K14" i="1"/>
  <c r="H14" i="1"/>
  <c r="Q13" i="1"/>
  <c r="N13" i="1"/>
  <c r="K13" i="1"/>
  <c r="H13" i="1"/>
  <c r="Q12" i="1"/>
  <c r="N12" i="1"/>
  <c r="K12" i="1"/>
  <c r="H12" i="1"/>
  <c r="Q11" i="1"/>
  <c r="N11" i="1"/>
  <c r="K11" i="1"/>
  <c r="H11" i="1"/>
  <c r="Q10" i="1"/>
  <c r="N10" i="1"/>
  <c r="K10" i="1"/>
  <c r="H10" i="1"/>
  <c r="Q9" i="1"/>
  <c r="N9" i="1"/>
  <c r="K9" i="1"/>
  <c r="H9" i="1"/>
  <c r="Q8" i="1"/>
  <c r="N8" i="1"/>
  <c r="Q7" i="1"/>
  <c r="N7" i="1"/>
  <c r="K7" i="1"/>
  <c r="H7" i="1"/>
  <c r="Q6" i="1"/>
  <c r="N6" i="1"/>
  <c r="K6" i="1"/>
  <c r="H6" i="1"/>
  <c r="Q5" i="1"/>
  <c r="N5" i="1"/>
  <c r="K5" i="1"/>
  <c r="H5" i="1"/>
  <c r="Q4" i="1"/>
  <c r="N4" i="1"/>
  <c r="K4" i="1"/>
  <c r="H4" i="1"/>
  <c r="Q3" i="1"/>
  <c r="N3" i="1"/>
  <c r="K3" i="1"/>
  <c r="H3" i="1"/>
  <c r="Q2" i="1"/>
  <c r="N2" i="1"/>
  <c r="K2" i="1"/>
  <c r="H2" i="1"/>
</calcChain>
</file>

<file path=xl/sharedStrings.xml><?xml version="1.0" encoding="utf-8"?>
<sst xmlns="http://schemas.openxmlformats.org/spreadsheetml/2006/main" count="83" uniqueCount="16">
  <si>
    <t>20260219_003_Ch1_HMDS_IRM_60x_1.5x_speckledGDP-MTs_488caps_HEPES_pH6.8-7.2-7.4-7.8-8.8</t>
  </si>
  <si>
    <t>video</t>
  </si>
  <si>
    <t>position</t>
  </si>
  <si>
    <t>MT</t>
  </si>
  <si>
    <t>MT length 6.8</t>
  </si>
  <si>
    <t>%</t>
  </si>
  <si>
    <t>frame</t>
  </si>
  <si>
    <t>MT length 7.2</t>
  </si>
  <si>
    <t>MT length 7.4</t>
  </si>
  <si>
    <t>MT length 7.8</t>
  </si>
  <si>
    <t>MT length 8.8</t>
  </si>
  <si>
    <t>20260219_004_Ch2_HMDS_IRM_60x_1.5x_speckledGDP-MTs_488caps_HEPES_pH6.8-7.2-7.4-7.8-8.8</t>
  </si>
  <si>
    <t>MT length 5.8</t>
  </si>
  <si>
    <t>MT length 6.4</t>
  </si>
  <si>
    <t>20260219_005_Ch3_HMDS_IRM_60x_1.5x_speckledGDP-MTs_488caps_MES_pH6.8-6.4-5.8-6.4-6.8-5.8</t>
  </si>
  <si>
    <t>20260219_006_Ch4_HMDS_IRM_60x_1.5x_speckledGDP-MTs_488caps_MES_pH6.8-5.8-6.8-HEPES-6.8-7.2-7.4-7.8-8.8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</si>
</sst>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5380-605A-4FCA-AC0D-18A4C3805A96}">
  <dimension ref="A1:Q33"/>
  <sheetViews>
    <sheetView workbookViewId="0">
      <selection activeCell="T13" sqref="T13"/>
    </sheetView>
  </sheetViews>
  <sheetFormatPr defaultRowHeight="15" x14ac:dyDescent="0.25"/>
  <cols>
    <col min="4" max="4" width="12.85546875" bestFit="1" customWidth="1"/>
    <col min="7" max="7" width="12.85546875" bestFit="1" customWidth="1"/>
    <col min="10" max="10" width="12.85546875" bestFit="1" customWidth="1"/>
    <col min="13" max="13" width="12.85546875" bestFit="1" customWidth="1"/>
    <col min="16" max="16" width="12.85546875" bestFit="1" customWidth="1"/>
  </cols>
  <sheetData>
    <row r="1" spans="1:1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5</v>
      </c>
      <c r="I1" t="s">
        <v>6</v>
      </c>
      <c r="J1" t="s">
        <v>8</v>
      </c>
      <c r="K1" t="s">
        <v>5</v>
      </c>
      <c r="L1" t="s">
        <v>6</v>
      </c>
      <c r="M1" t="s">
        <v>9</v>
      </c>
      <c r="N1" t="s">
        <v>5</v>
      </c>
      <c r="O1" t="s">
        <v>6</v>
      </c>
      <c r="P1" t="s">
        <v>10</v>
      </c>
      <c r="Q1" t="s">
        <v>5</v>
      </c>
    </row>
    <row r="2" spans="1:17" x14ac:dyDescent="0.25">
      <c r="A2" t="s">
        <v>0</v>
      </c>
      <c r="B2">
        <v>4</v>
      </c>
      <c r="C2">
        <v>1</v>
      </c>
      <c r="D2">
        <v>26.58</v>
      </c>
      <c r="E2">
        <v>0</v>
      </c>
      <c r="F2">
        <v>1</v>
      </c>
      <c r="G2">
        <v>26.998000000000001</v>
      </c>
      <c r="H2">
        <f>G2/(D2/100)-100</f>
        <v>1.5726109857035482</v>
      </c>
      <c r="I2">
        <v>7</v>
      </c>
      <c r="J2">
        <v>27.234000000000002</v>
      </c>
      <c r="K2">
        <f>J2/($D2/100)-100</f>
        <v>2.4604966139955025</v>
      </c>
      <c r="L2">
        <v>12</v>
      </c>
      <c r="M2">
        <v>27.18</v>
      </c>
      <c r="N2">
        <f>M2/($D2/100)-100</f>
        <v>2.2573363431151279</v>
      </c>
      <c r="O2">
        <v>15</v>
      </c>
      <c r="P2">
        <v>27.376000000000001</v>
      </c>
      <c r="Q2">
        <f>P2/($D2/100)-100</f>
        <v>2.9947328818660708</v>
      </c>
    </row>
    <row r="3" spans="1:17" x14ac:dyDescent="0.25">
      <c r="C3">
        <v>2</v>
      </c>
      <c r="D3">
        <v>17.649000000000001</v>
      </c>
      <c r="E3">
        <v>0</v>
      </c>
      <c r="G3">
        <v>17.914000000000001</v>
      </c>
      <c r="H3">
        <f t="shared" ref="H3:H6" si="0">G3/(D3/100)-100</f>
        <v>1.5015015015015081</v>
      </c>
      <c r="J3">
        <v>17.934000000000001</v>
      </c>
      <c r="K3">
        <f t="shared" ref="K3:K6" si="1">J3/($D3/100)-100</f>
        <v>1.614822369539354</v>
      </c>
      <c r="L3">
        <v>11</v>
      </c>
      <c r="M3">
        <v>17.872</v>
      </c>
      <c r="N3">
        <f t="shared" ref="N3:N18" si="2">M3/($D3/100)-100</f>
        <v>1.2635276786220118</v>
      </c>
      <c r="P3">
        <v>18.082999999999998</v>
      </c>
      <c r="Q3">
        <f t="shared" ref="Q3:Q33" si="3">P3/($D3/100)-100</f>
        <v>2.4590628364213103</v>
      </c>
    </row>
    <row r="4" spans="1:17" x14ac:dyDescent="0.25">
      <c r="C4">
        <v>3</v>
      </c>
      <c r="D4">
        <v>63.832000000000001</v>
      </c>
      <c r="E4">
        <v>0</v>
      </c>
      <c r="G4">
        <v>64.727000000000004</v>
      </c>
      <c r="H4">
        <f t="shared" si="0"/>
        <v>1.4021180599072665</v>
      </c>
      <c r="J4">
        <v>63.807000000000002</v>
      </c>
      <c r="K4">
        <f t="shared" si="1"/>
        <v>-3.9165308935949383E-2</v>
      </c>
      <c r="M4">
        <v>64.347999999999999</v>
      </c>
      <c r="N4">
        <f t="shared" si="2"/>
        <v>0.80837197643815273</v>
      </c>
      <c r="P4">
        <v>65.466999999999999</v>
      </c>
      <c r="Q4">
        <f t="shared" si="3"/>
        <v>2.5614112044115842</v>
      </c>
    </row>
    <row r="5" spans="1:17" x14ac:dyDescent="0.25">
      <c r="C5">
        <v>4</v>
      </c>
      <c r="D5">
        <v>19.446000000000002</v>
      </c>
      <c r="E5">
        <v>0</v>
      </c>
      <c r="G5">
        <v>19.277999999999999</v>
      </c>
      <c r="H5">
        <f t="shared" si="0"/>
        <v>-0.86393088552917163</v>
      </c>
      <c r="J5">
        <v>19.231000000000002</v>
      </c>
      <c r="K5">
        <f t="shared" si="1"/>
        <v>-1.1056258356474302</v>
      </c>
      <c r="M5">
        <v>19.454999999999998</v>
      </c>
      <c r="N5">
        <f t="shared" si="2"/>
        <v>4.6282011724755989E-2</v>
      </c>
      <c r="P5">
        <v>19.678999999999998</v>
      </c>
      <c r="Q5">
        <f t="shared" si="3"/>
        <v>1.1981898590969706</v>
      </c>
    </row>
    <row r="6" spans="1:17" x14ac:dyDescent="0.25">
      <c r="C6">
        <v>5</v>
      </c>
      <c r="D6">
        <v>41.695999999999998</v>
      </c>
      <c r="E6">
        <v>0</v>
      </c>
      <c r="G6">
        <v>41.996000000000002</v>
      </c>
      <c r="H6">
        <f t="shared" si="0"/>
        <v>0.71949347659248986</v>
      </c>
      <c r="J6">
        <v>41.353000000000002</v>
      </c>
      <c r="K6">
        <f t="shared" si="1"/>
        <v>-0.82262087490406088</v>
      </c>
      <c r="M6">
        <v>41.654000000000003</v>
      </c>
      <c r="N6">
        <f t="shared" si="2"/>
        <v>-0.10072908672293579</v>
      </c>
      <c r="P6">
        <v>43.267000000000003</v>
      </c>
      <c r="Q6">
        <f t="shared" si="3"/>
        <v>3.7677475057559491</v>
      </c>
    </row>
    <row r="7" spans="1:17" x14ac:dyDescent="0.25">
      <c r="B7">
        <v>3</v>
      </c>
      <c r="C7">
        <v>1</v>
      </c>
      <c r="D7">
        <v>7.1870000000000003</v>
      </c>
      <c r="E7">
        <v>0</v>
      </c>
      <c r="G7">
        <v>7.1870000000000003</v>
      </c>
      <c r="H7">
        <f>G7/(D7/100)-100</f>
        <v>0</v>
      </c>
      <c r="J7">
        <v>7.1689999999999996</v>
      </c>
      <c r="K7">
        <f>J7/($D7/100)-100</f>
        <v>-0.25045220537082002</v>
      </c>
      <c r="M7">
        <v>7.2030000000000003</v>
      </c>
      <c r="N7">
        <f t="shared" si="2"/>
        <v>0.22262418255182581</v>
      </c>
      <c r="P7">
        <v>7.41</v>
      </c>
      <c r="Q7">
        <f t="shared" si="3"/>
        <v>3.1028245443161211</v>
      </c>
    </row>
    <row r="8" spans="1:17" x14ac:dyDescent="0.25">
      <c r="C8">
        <v>2</v>
      </c>
      <c r="J8">
        <v>27.745000000000001</v>
      </c>
      <c r="K8">
        <v>0</v>
      </c>
      <c r="M8">
        <v>27.564</v>
      </c>
      <c r="N8">
        <f>M8/($J8/100)-100</f>
        <v>-0.65236979635972148</v>
      </c>
      <c r="P8">
        <v>28.25</v>
      </c>
      <c r="Q8">
        <f>P8/($J8/100)-100</f>
        <v>1.8201477743737513</v>
      </c>
    </row>
    <row r="9" spans="1:17" x14ac:dyDescent="0.25">
      <c r="C9">
        <v>3</v>
      </c>
      <c r="D9">
        <v>23.166</v>
      </c>
      <c r="E9">
        <v>0</v>
      </c>
      <c r="G9">
        <v>23.087</v>
      </c>
      <c r="H9">
        <f t="shared" ref="H9:H33" si="4">G9/(D9/100)-100</f>
        <v>-0.34101700768367493</v>
      </c>
      <c r="J9">
        <v>23.013000000000002</v>
      </c>
      <c r="K9">
        <f t="shared" ref="K9:K33" si="5">J9/($D9/100)-100</f>
        <v>-0.66045066045064971</v>
      </c>
      <c r="M9">
        <v>23.178999999999998</v>
      </c>
      <c r="N9">
        <f t="shared" si="2"/>
        <v>5.6116722783386308E-2</v>
      </c>
      <c r="P9">
        <v>23.437999999999999</v>
      </c>
      <c r="Q9">
        <f t="shared" si="3"/>
        <v>1.1741345074678406</v>
      </c>
    </row>
    <row r="10" spans="1:17" x14ac:dyDescent="0.25">
      <c r="C10">
        <v>4</v>
      </c>
      <c r="D10">
        <v>63.374000000000002</v>
      </c>
      <c r="E10">
        <v>0</v>
      </c>
      <c r="G10">
        <v>63.575000000000003</v>
      </c>
      <c r="H10">
        <f t="shared" si="4"/>
        <v>0.31716476788589887</v>
      </c>
      <c r="J10">
        <v>63.741999999999997</v>
      </c>
      <c r="K10">
        <f t="shared" si="5"/>
        <v>0.58067977403982241</v>
      </c>
      <c r="M10">
        <v>64.614999999999995</v>
      </c>
      <c r="N10">
        <f t="shared" si="2"/>
        <v>1.9582163032158206</v>
      </c>
      <c r="P10">
        <v>65.887</v>
      </c>
      <c r="Q10">
        <f t="shared" si="3"/>
        <v>3.9653485656578482</v>
      </c>
    </row>
    <row r="11" spans="1:17" x14ac:dyDescent="0.25">
      <c r="C11">
        <v>5</v>
      </c>
      <c r="D11">
        <v>33.173999999999999</v>
      </c>
      <c r="E11">
        <v>0</v>
      </c>
      <c r="G11">
        <v>33.405999999999999</v>
      </c>
      <c r="H11">
        <f t="shared" si="4"/>
        <v>0.6993428588653785</v>
      </c>
      <c r="J11">
        <v>33.710999999999999</v>
      </c>
      <c r="K11">
        <f t="shared" si="5"/>
        <v>1.6187375655633929</v>
      </c>
      <c r="M11">
        <v>34.44</v>
      </c>
      <c r="N11">
        <f t="shared" si="2"/>
        <v>3.8162416350153734</v>
      </c>
      <c r="P11">
        <v>34.323999999999998</v>
      </c>
      <c r="Q11">
        <f t="shared" si="3"/>
        <v>3.4665702055826841</v>
      </c>
    </row>
    <row r="12" spans="1:17" x14ac:dyDescent="0.25">
      <c r="B12">
        <v>2</v>
      </c>
      <c r="C12">
        <v>1</v>
      </c>
      <c r="D12">
        <v>19.693000000000001</v>
      </c>
      <c r="E12">
        <v>0</v>
      </c>
      <c r="G12">
        <v>19.507000000000001</v>
      </c>
      <c r="H12">
        <f t="shared" si="4"/>
        <v>-0.94449804499060974</v>
      </c>
      <c r="J12">
        <v>19.396999999999998</v>
      </c>
      <c r="K12">
        <f t="shared" si="5"/>
        <v>-1.5030721576194708</v>
      </c>
      <c r="M12">
        <v>19.893000000000001</v>
      </c>
      <c r="N12">
        <f t="shared" si="2"/>
        <v>1.0155892956888124</v>
      </c>
      <c r="P12">
        <v>20.035</v>
      </c>
      <c r="Q12">
        <f t="shared" si="3"/>
        <v>1.7366576956278834</v>
      </c>
    </row>
    <row r="13" spans="1:17" x14ac:dyDescent="0.25">
      <c r="C13">
        <v>2</v>
      </c>
      <c r="D13">
        <v>46.595999999999997</v>
      </c>
      <c r="E13">
        <v>0</v>
      </c>
      <c r="G13">
        <v>46.396999999999998</v>
      </c>
      <c r="H13">
        <f t="shared" si="4"/>
        <v>-0.42707528543222395</v>
      </c>
      <c r="J13">
        <v>47.110999999999997</v>
      </c>
      <c r="K13">
        <f t="shared" si="5"/>
        <v>1.1052450854150493</v>
      </c>
      <c r="M13">
        <v>47.79</v>
      </c>
      <c r="N13">
        <f t="shared" si="2"/>
        <v>2.5624517125933579</v>
      </c>
      <c r="P13">
        <v>48.776000000000003</v>
      </c>
      <c r="Q13">
        <f t="shared" si="3"/>
        <v>4.678513177096761</v>
      </c>
    </row>
    <row r="14" spans="1:17" x14ac:dyDescent="0.25">
      <c r="C14">
        <v>3</v>
      </c>
      <c r="D14">
        <v>20.975000000000001</v>
      </c>
      <c r="E14">
        <v>0</v>
      </c>
      <c r="G14">
        <v>21.448</v>
      </c>
      <c r="H14">
        <f t="shared" si="4"/>
        <v>2.2550655542312228</v>
      </c>
      <c r="J14">
        <v>21.484000000000002</v>
      </c>
      <c r="K14">
        <f t="shared" si="5"/>
        <v>2.4266984505363496</v>
      </c>
      <c r="M14">
        <v>21.623000000000001</v>
      </c>
      <c r="N14">
        <f t="shared" si="2"/>
        <v>3.0893921334922538</v>
      </c>
      <c r="P14">
        <v>21.702999999999999</v>
      </c>
      <c r="Q14">
        <f t="shared" si="3"/>
        <v>3.4707985697258579</v>
      </c>
    </row>
    <row r="15" spans="1:17" x14ac:dyDescent="0.25">
      <c r="C15">
        <v>4</v>
      </c>
      <c r="D15">
        <v>19.568000000000001</v>
      </c>
      <c r="E15">
        <v>0</v>
      </c>
      <c r="G15">
        <v>19.577999999999999</v>
      </c>
      <c r="H15">
        <f t="shared" si="4"/>
        <v>5.1103843008974081E-2</v>
      </c>
      <c r="J15">
        <v>19.66</v>
      </c>
      <c r="K15">
        <f t="shared" si="5"/>
        <v>0.47015535568273492</v>
      </c>
      <c r="M15">
        <v>19.946000000000002</v>
      </c>
      <c r="N15">
        <f t="shared" si="2"/>
        <v>1.9317252657399848</v>
      </c>
      <c r="P15">
        <v>20.015999999999998</v>
      </c>
      <c r="Q15">
        <f t="shared" si="3"/>
        <v>2.2894521668029171</v>
      </c>
    </row>
    <row r="16" spans="1:17" x14ac:dyDescent="0.25">
      <c r="C16">
        <v>5</v>
      </c>
      <c r="D16">
        <v>24.202000000000002</v>
      </c>
      <c r="E16">
        <v>0</v>
      </c>
      <c r="G16">
        <v>24.045000000000002</v>
      </c>
      <c r="H16">
        <f t="shared" si="4"/>
        <v>-0.64870671845301331</v>
      </c>
      <c r="J16">
        <v>24.202999999999999</v>
      </c>
      <c r="K16">
        <f t="shared" si="5"/>
        <v>4.1318899264410902E-3</v>
      </c>
      <c r="M16">
        <v>24.556999999999999</v>
      </c>
      <c r="N16">
        <f t="shared" si="2"/>
        <v>1.4668209238905803</v>
      </c>
      <c r="P16">
        <v>24.791</v>
      </c>
      <c r="Q16">
        <f t="shared" si="3"/>
        <v>2.4336831666804386</v>
      </c>
    </row>
    <row r="17" spans="1:17" x14ac:dyDescent="0.25">
      <c r="B17">
        <v>1</v>
      </c>
      <c r="C17">
        <v>1</v>
      </c>
      <c r="D17">
        <v>36.069000000000003</v>
      </c>
      <c r="E17">
        <v>0</v>
      </c>
      <c r="G17">
        <v>36.347999999999999</v>
      </c>
      <c r="H17">
        <f t="shared" si="4"/>
        <v>0.77351742493553388</v>
      </c>
      <c r="J17">
        <v>35.941000000000003</v>
      </c>
      <c r="K17">
        <f t="shared" si="5"/>
        <v>-0.35487537774820055</v>
      </c>
      <c r="M17">
        <v>36.941000000000003</v>
      </c>
      <c r="N17">
        <f t="shared" si="2"/>
        <v>2.4175885109096527</v>
      </c>
      <c r="P17">
        <v>37.292999999999999</v>
      </c>
      <c r="Q17">
        <f t="shared" si="3"/>
        <v>3.3934957997172006</v>
      </c>
    </row>
    <row r="18" spans="1:17" x14ac:dyDescent="0.25">
      <c r="C18">
        <v>2</v>
      </c>
      <c r="D18">
        <v>23.776</v>
      </c>
      <c r="E18">
        <v>0</v>
      </c>
      <c r="G18">
        <v>23.663</v>
      </c>
      <c r="H18">
        <f t="shared" si="4"/>
        <v>-0.47526917900403021</v>
      </c>
      <c r="J18">
        <v>23.472999999999999</v>
      </c>
      <c r="K18">
        <f t="shared" si="5"/>
        <v>-1.2743943472409143</v>
      </c>
      <c r="M18">
        <v>23.763999999999999</v>
      </c>
      <c r="N18">
        <f t="shared" si="2"/>
        <v>-5.047106325706352E-2</v>
      </c>
      <c r="P18">
        <v>24.128</v>
      </c>
      <c r="Q18">
        <f t="shared" si="3"/>
        <v>1.4804845222072629</v>
      </c>
    </row>
    <row r="19" spans="1:17" x14ac:dyDescent="0.25">
      <c r="C19">
        <v>3</v>
      </c>
      <c r="D19">
        <v>46.646999999999998</v>
      </c>
      <c r="E19">
        <v>0</v>
      </c>
      <c r="G19">
        <v>46.859000000000002</v>
      </c>
      <c r="H19">
        <f t="shared" si="4"/>
        <v>0.4544772439814011</v>
      </c>
      <c r="J19">
        <v>46.975000000000001</v>
      </c>
      <c r="K19">
        <f t="shared" si="5"/>
        <v>0.7031534718202721</v>
      </c>
      <c r="M19">
        <v>47.366999999999997</v>
      </c>
      <c r="N19">
        <f>M19/($D19/100)-100</f>
        <v>1.5435076210688692</v>
      </c>
      <c r="P19">
        <v>48.24</v>
      </c>
      <c r="Q19">
        <f t="shared" si="3"/>
        <v>3.4150106116149033</v>
      </c>
    </row>
    <row r="20" spans="1:17" x14ac:dyDescent="0.25">
      <c r="C20">
        <v>4</v>
      </c>
      <c r="D20">
        <v>36.164999999999999</v>
      </c>
      <c r="E20">
        <v>0</v>
      </c>
      <c r="G20">
        <v>36.079000000000001</v>
      </c>
      <c r="H20">
        <f t="shared" si="4"/>
        <v>-0.23779897691136398</v>
      </c>
      <c r="J20">
        <v>36.338000000000001</v>
      </c>
      <c r="K20">
        <f t="shared" si="5"/>
        <v>0.47836305820545988</v>
      </c>
      <c r="M20">
        <v>36.973999999999997</v>
      </c>
      <c r="N20">
        <f t="shared" ref="N20:N33" si="6">M20/($D20/100)-100</f>
        <v>2.2369694455965714</v>
      </c>
      <c r="P20">
        <v>37.807000000000002</v>
      </c>
      <c r="Q20">
        <f t="shared" si="3"/>
        <v>4.5403013963777283</v>
      </c>
    </row>
    <row r="21" spans="1:17" x14ac:dyDescent="0.25">
      <c r="C21">
        <v>5</v>
      </c>
      <c r="D21">
        <v>23.765000000000001</v>
      </c>
      <c r="E21">
        <v>0</v>
      </c>
      <c r="G21">
        <v>23.475999999999999</v>
      </c>
      <c r="H21">
        <f t="shared" si="4"/>
        <v>-1.216074058489383</v>
      </c>
      <c r="J21">
        <v>23.402000000000001</v>
      </c>
      <c r="K21">
        <f t="shared" si="5"/>
        <v>-1.5274563433620898</v>
      </c>
      <c r="M21">
        <v>24.108000000000001</v>
      </c>
      <c r="N21">
        <f t="shared" si="6"/>
        <v>1.443298969072174</v>
      </c>
      <c r="P21">
        <v>24.498000000000001</v>
      </c>
      <c r="Q21">
        <f t="shared" si="3"/>
        <v>3.0843677677256522</v>
      </c>
    </row>
    <row r="22" spans="1:17" x14ac:dyDescent="0.25">
      <c r="A22" t="s">
        <v>11</v>
      </c>
      <c r="B22">
        <v>4</v>
      </c>
      <c r="C22">
        <v>1</v>
      </c>
      <c r="D22">
        <v>48.267000000000003</v>
      </c>
      <c r="E22">
        <v>0</v>
      </c>
      <c r="F22">
        <v>1</v>
      </c>
      <c r="G22">
        <v>48.268000000000001</v>
      </c>
      <c r="H22">
        <f t="shared" si="4"/>
        <v>2.0718088963462833E-3</v>
      </c>
      <c r="I22">
        <v>6</v>
      </c>
      <c r="J22">
        <v>48.515999999999998</v>
      </c>
      <c r="K22">
        <f t="shared" si="5"/>
        <v>0.51588041519049455</v>
      </c>
      <c r="L22">
        <v>11</v>
      </c>
      <c r="M22">
        <v>49.213000000000001</v>
      </c>
      <c r="N22">
        <f t="shared" si="6"/>
        <v>1.9599312159446356</v>
      </c>
      <c r="O22">
        <v>14</v>
      </c>
      <c r="P22">
        <v>49.48</v>
      </c>
      <c r="Q22">
        <f t="shared" si="3"/>
        <v>2.5131041912693775</v>
      </c>
    </row>
    <row r="23" spans="1:17" x14ac:dyDescent="0.25">
      <c r="C23">
        <v>2</v>
      </c>
      <c r="D23">
        <v>44.238999999999997</v>
      </c>
      <c r="E23">
        <v>0</v>
      </c>
      <c r="G23">
        <v>44.234000000000002</v>
      </c>
      <c r="H23">
        <f t="shared" si="4"/>
        <v>-1.1302244625767344E-2</v>
      </c>
      <c r="J23">
        <v>44.194000000000003</v>
      </c>
      <c r="K23">
        <f t="shared" si="5"/>
        <v>-0.10172020163203399</v>
      </c>
      <c r="P23">
        <v>45.311999999999998</v>
      </c>
      <c r="Q23">
        <f t="shared" si="3"/>
        <v>2.4254616966929632</v>
      </c>
    </row>
    <row r="24" spans="1:17" x14ac:dyDescent="0.25">
      <c r="C24">
        <v>3</v>
      </c>
      <c r="D24">
        <v>28.324000000000002</v>
      </c>
      <c r="E24">
        <v>0</v>
      </c>
      <c r="G24">
        <v>28.183</v>
      </c>
      <c r="H24">
        <f t="shared" si="4"/>
        <v>-0.49781104363789552</v>
      </c>
      <c r="J24">
        <v>28.308</v>
      </c>
      <c r="K24">
        <f t="shared" si="5"/>
        <v>-5.6489196441177114E-2</v>
      </c>
      <c r="M24">
        <v>28.388999999999999</v>
      </c>
      <c r="N24">
        <f t="shared" si="6"/>
        <v>0.22948736054229357</v>
      </c>
      <c r="P24">
        <v>29.382000000000001</v>
      </c>
      <c r="Q24">
        <f t="shared" si="3"/>
        <v>3.7353481146730729</v>
      </c>
    </row>
    <row r="25" spans="1:17" x14ac:dyDescent="0.25">
      <c r="B25">
        <v>3</v>
      </c>
      <c r="C25">
        <v>1</v>
      </c>
      <c r="D25">
        <v>30.898</v>
      </c>
      <c r="E25">
        <v>0</v>
      </c>
      <c r="G25">
        <v>30.966999999999999</v>
      </c>
      <c r="H25">
        <f t="shared" si="4"/>
        <v>0.22331542494660539</v>
      </c>
      <c r="J25">
        <v>31.338999999999999</v>
      </c>
      <c r="K25">
        <f t="shared" si="5"/>
        <v>1.4272768463978309</v>
      </c>
      <c r="M25">
        <v>31.431000000000001</v>
      </c>
      <c r="N25">
        <f t="shared" si="6"/>
        <v>1.7250307463266381</v>
      </c>
      <c r="P25">
        <v>32.170999999999999</v>
      </c>
      <c r="Q25">
        <f t="shared" si="3"/>
        <v>4.1200077674930498</v>
      </c>
    </row>
    <row r="26" spans="1:17" x14ac:dyDescent="0.25">
      <c r="C26">
        <v>2</v>
      </c>
      <c r="D26">
        <v>62.372</v>
      </c>
      <c r="E26">
        <v>0</v>
      </c>
      <c r="G26">
        <v>62.905999999999999</v>
      </c>
      <c r="H26">
        <f t="shared" si="4"/>
        <v>0.85615340216763514</v>
      </c>
      <c r="J26">
        <v>63.618000000000002</v>
      </c>
      <c r="K26">
        <f t="shared" si="5"/>
        <v>1.9976912717244915</v>
      </c>
      <c r="M26">
        <v>64.164000000000001</v>
      </c>
      <c r="N26">
        <f t="shared" si="6"/>
        <v>2.8730840761880216</v>
      </c>
      <c r="P26">
        <v>64.209999999999994</v>
      </c>
      <c r="Q26">
        <f t="shared" si="3"/>
        <v>2.946835118322312</v>
      </c>
    </row>
    <row r="27" spans="1:17" x14ac:dyDescent="0.25">
      <c r="C27">
        <v>3</v>
      </c>
      <c r="D27">
        <v>11.788</v>
      </c>
      <c r="E27">
        <v>0</v>
      </c>
      <c r="G27">
        <v>11.855</v>
      </c>
      <c r="H27">
        <f t="shared" si="4"/>
        <v>0.56837461825585933</v>
      </c>
      <c r="J27">
        <v>11.932</v>
      </c>
      <c r="K27">
        <f t="shared" si="5"/>
        <v>1.2215812690872099</v>
      </c>
      <c r="M27">
        <v>11.930999999999999</v>
      </c>
      <c r="N27">
        <f t="shared" si="6"/>
        <v>1.2130980658296551</v>
      </c>
      <c r="P27">
        <v>12.179</v>
      </c>
      <c r="Q27">
        <f t="shared" si="3"/>
        <v>3.3169324737020673</v>
      </c>
    </row>
    <row r="28" spans="1:17" x14ac:dyDescent="0.25">
      <c r="C28">
        <v>4</v>
      </c>
      <c r="D28">
        <v>30.629000000000001</v>
      </c>
      <c r="E28">
        <v>0</v>
      </c>
      <c r="G28">
        <v>30.513000000000002</v>
      </c>
      <c r="H28">
        <f t="shared" si="4"/>
        <v>-0.37872604394527798</v>
      </c>
      <c r="J28">
        <v>30.626000000000001</v>
      </c>
      <c r="K28">
        <f t="shared" si="5"/>
        <v>-9.7946390675502926E-3</v>
      </c>
      <c r="M28">
        <v>31.015999999999998</v>
      </c>
      <c r="N28">
        <f t="shared" si="6"/>
        <v>1.2635084397139877</v>
      </c>
      <c r="P28">
        <v>31.65</v>
      </c>
      <c r="Q28">
        <f t="shared" si="3"/>
        <v>3.3334421626562971</v>
      </c>
    </row>
    <row r="29" spans="1:17" x14ac:dyDescent="0.25">
      <c r="C29">
        <v>5</v>
      </c>
      <c r="D29">
        <v>18.347999999999999</v>
      </c>
      <c r="E29">
        <v>0</v>
      </c>
      <c r="G29">
        <v>18.666</v>
      </c>
      <c r="H29">
        <f t="shared" si="4"/>
        <v>1.7331589274035508</v>
      </c>
      <c r="J29">
        <v>18.626999999999999</v>
      </c>
      <c r="K29">
        <f t="shared" si="5"/>
        <v>1.5206017004578172</v>
      </c>
      <c r="M29">
        <v>18.510999999999999</v>
      </c>
      <c r="N29">
        <f t="shared" si="6"/>
        <v>0.88838020492697467</v>
      </c>
      <c r="P29">
        <v>18.884</v>
      </c>
      <c r="Q29">
        <f t="shared" si="3"/>
        <v>2.921299324177042</v>
      </c>
    </row>
    <row r="30" spans="1:17" x14ac:dyDescent="0.25">
      <c r="B30">
        <v>2</v>
      </c>
      <c r="C30">
        <v>1</v>
      </c>
      <c r="D30">
        <v>19.591999999999999</v>
      </c>
      <c r="E30">
        <v>0</v>
      </c>
      <c r="G30">
        <v>19.606000000000002</v>
      </c>
      <c r="H30">
        <f t="shared" si="4"/>
        <v>7.1457737852199443E-2</v>
      </c>
      <c r="J30">
        <v>19.719000000000001</v>
      </c>
      <c r="K30">
        <f t="shared" si="5"/>
        <v>0.64822376480196908</v>
      </c>
      <c r="M30">
        <v>20.141999999999999</v>
      </c>
      <c r="N30">
        <f t="shared" si="6"/>
        <v>2.8072682727644036</v>
      </c>
      <c r="P30">
        <v>20.353000000000002</v>
      </c>
      <c r="Q30">
        <f t="shared" si="3"/>
        <v>3.8842384646794841</v>
      </c>
    </row>
    <row r="31" spans="1:17" x14ac:dyDescent="0.25">
      <c r="C31">
        <v>2</v>
      </c>
      <c r="D31">
        <v>33.442999999999998</v>
      </c>
      <c r="E31">
        <v>0</v>
      </c>
      <c r="G31">
        <v>33.43</v>
      </c>
      <c r="H31">
        <f t="shared" si="4"/>
        <v>-3.887211075561936E-2</v>
      </c>
      <c r="J31">
        <v>33.609000000000002</v>
      </c>
      <c r="K31">
        <f t="shared" si="5"/>
        <v>0.49636695272553766</v>
      </c>
      <c r="M31">
        <v>33.567</v>
      </c>
      <c r="N31">
        <f t="shared" si="6"/>
        <v>0.37078013336123661</v>
      </c>
      <c r="P31">
        <v>34.47</v>
      </c>
      <c r="Q31">
        <f t="shared" si="3"/>
        <v>3.0708967496935031</v>
      </c>
    </row>
    <row r="32" spans="1:17" x14ac:dyDescent="0.25">
      <c r="B32">
        <v>1</v>
      </c>
      <c r="C32">
        <v>1</v>
      </c>
      <c r="D32">
        <v>39.872</v>
      </c>
      <c r="E32">
        <v>0</v>
      </c>
      <c r="G32">
        <v>39.805999999999997</v>
      </c>
      <c r="H32">
        <f t="shared" si="4"/>
        <v>-0.16552969502409098</v>
      </c>
      <c r="J32">
        <v>39.945999999999998</v>
      </c>
      <c r="K32">
        <f t="shared" si="5"/>
        <v>0.18559390048153546</v>
      </c>
      <c r="M32">
        <v>40.067999999999998</v>
      </c>
      <c r="N32">
        <f t="shared" si="6"/>
        <v>0.49157303370785144</v>
      </c>
      <c r="P32">
        <v>40.795999999999999</v>
      </c>
      <c r="Q32">
        <f t="shared" si="3"/>
        <v>2.3174157303370748</v>
      </c>
    </row>
    <row r="33" spans="3:17" x14ac:dyDescent="0.25">
      <c r="C33">
        <v>2</v>
      </c>
      <c r="D33">
        <v>20.431000000000001</v>
      </c>
      <c r="E33">
        <v>0</v>
      </c>
      <c r="G33">
        <v>20.800999999999998</v>
      </c>
      <c r="H33">
        <f t="shared" si="4"/>
        <v>1.8109735206303981</v>
      </c>
      <c r="J33">
        <v>20.861000000000001</v>
      </c>
      <c r="K33">
        <f t="shared" si="5"/>
        <v>2.1046449023542522</v>
      </c>
      <c r="M33">
        <v>20.734999999999999</v>
      </c>
      <c r="N33">
        <f t="shared" si="6"/>
        <v>1.4879350007341685</v>
      </c>
      <c r="P33">
        <v>20.988</v>
      </c>
      <c r="Q33">
        <f t="shared" si="3"/>
        <v>2.7262493270030745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A0F6-996D-4EB5-A585-DF96C6F28468}">
  <dimension ref="A1:L16"/>
  <sheetViews>
    <sheetView workbookViewId="0">
      <selection sqref="A1:L16"/>
    </sheetView>
  </sheetViews>
  <sheetFormatPr defaultRowHeight="15" x14ac:dyDescent="0.25"/>
  <sheetData>
    <row r="1" spans="1:12" x14ac:dyDescent="0.25">
      <c r="A1" t="s">
        <v>1</v>
      </c>
      <c r="B1" t="s">
        <v>2</v>
      </c>
      <c r="C1" t="s">
        <v>3</v>
      </c>
      <c r="D1" t="s">
        <v>12</v>
      </c>
      <c r="E1" t="s">
        <v>5</v>
      </c>
      <c r="F1" t="s">
        <v>6</v>
      </c>
      <c r="G1" t="s">
        <v>13</v>
      </c>
      <c r="H1" t="s">
        <v>5</v>
      </c>
      <c r="I1" t="s">
        <v>6</v>
      </c>
      <c r="J1" t="s">
        <v>4</v>
      </c>
      <c r="K1" t="s">
        <v>5</v>
      </c>
      <c r="L1" t="s">
        <v>6</v>
      </c>
    </row>
    <row r="2" spans="1:12" x14ac:dyDescent="0.25">
      <c r="A2" t="s">
        <v>14</v>
      </c>
      <c r="B2">
        <v>4</v>
      </c>
      <c r="C2">
        <v>1</v>
      </c>
      <c r="D2">
        <v>39.363999999999997</v>
      </c>
      <c r="E2">
        <f>D2/($D2/100)-100</f>
        <v>0</v>
      </c>
      <c r="F2">
        <v>11</v>
      </c>
      <c r="G2">
        <v>39.506</v>
      </c>
      <c r="H2">
        <f>G2/($D2/100)-100</f>
        <v>0.36073569759170709</v>
      </c>
      <c r="I2">
        <v>14</v>
      </c>
      <c r="J2">
        <v>39.542000000000002</v>
      </c>
      <c r="K2">
        <f>J2/($D2/100)-100</f>
        <v>0.45218981810792513</v>
      </c>
      <c r="L2">
        <v>15</v>
      </c>
    </row>
    <row r="3" spans="1:12" x14ac:dyDescent="0.25">
      <c r="C3">
        <v>2</v>
      </c>
      <c r="D3">
        <v>21.128</v>
      </c>
      <c r="E3">
        <f t="shared" ref="E3:E16" si="0">D3/($D3/100)-100</f>
        <v>0</v>
      </c>
      <c r="G3">
        <v>21.021000000000001</v>
      </c>
      <c r="H3">
        <f t="shared" ref="H3:H16" si="1">G3/($D3/100)-100</f>
        <v>-0.50643695569858949</v>
      </c>
      <c r="J3">
        <v>21.236999999999998</v>
      </c>
      <c r="K3">
        <f t="shared" ref="K3:K16" si="2">J3/($D3/100)-100</f>
        <v>0.51590306702006217</v>
      </c>
    </row>
    <row r="4" spans="1:12" x14ac:dyDescent="0.25">
      <c r="C4">
        <v>3</v>
      </c>
      <c r="D4">
        <v>43.268000000000001</v>
      </c>
      <c r="E4">
        <f t="shared" si="0"/>
        <v>0</v>
      </c>
      <c r="G4">
        <v>43.054000000000002</v>
      </c>
      <c r="H4">
        <f t="shared" si="1"/>
        <v>-0.4945918461680634</v>
      </c>
      <c r="J4">
        <v>43.222000000000001</v>
      </c>
      <c r="K4">
        <f t="shared" si="2"/>
        <v>-0.10631413515761778</v>
      </c>
    </row>
    <row r="5" spans="1:12" x14ac:dyDescent="0.25">
      <c r="C5">
        <v>4</v>
      </c>
      <c r="D5">
        <v>38.244999999999997</v>
      </c>
      <c r="E5">
        <f t="shared" si="0"/>
        <v>0</v>
      </c>
      <c r="G5">
        <v>38.188000000000002</v>
      </c>
      <c r="H5">
        <f t="shared" si="1"/>
        <v>-0.14903909007711036</v>
      </c>
      <c r="J5">
        <v>38.298999999999999</v>
      </c>
      <c r="K5">
        <f t="shared" si="2"/>
        <v>0.14119492744150364</v>
      </c>
    </row>
    <row r="6" spans="1:12" x14ac:dyDescent="0.25">
      <c r="C6">
        <v>5</v>
      </c>
      <c r="D6">
        <v>38.789000000000001</v>
      </c>
      <c r="E6">
        <f t="shared" si="0"/>
        <v>0</v>
      </c>
      <c r="G6">
        <v>38.606999999999999</v>
      </c>
      <c r="H6">
        <f t="shared" si="1"/>
        <v>-0.46920518703757352</v>
      </c>
      <c r="J6">
        <v>38.835000000000001</v>
      </c>
      <c r="K6">
        <f t="shared" si="2"/>
        <v>0.11859032199851072</v>
      </c>
    </row>
    <row r="7" spans="1:12" x14ac:dyDescent="0.25">
      <c r="B7">
        <v>3</v>
      </c>
      <c r="C7">
        <v>1</v>
      </c>
      <c r="D7">
        <v>34.917000000000002</v>
      </c>
      <c r="E7">
        <f t="shared" si="0"/>
        <v>0</v>
      </c>
      <c r="G7">
        <v>34.837000000000003</v>
      </c>
      <c r="H7">
        <f t="shared" si="1"/>
        <v>-0.22911475785434732</v>
      </c>
      <c r="J7">
        <v>35.009</v>
      </c>
      <c r="K7">
        <f t="shared" si="2"/>
        <v>0.2634819715324852</v>
      </c>
    </row>
    <row r="8" spans="1:12" x14ac:dyDescent="0.25">
      <c r="C8">
        <v>2</v>
      </c>
      <c r="D8">
        <v>27.498000000000001</v>
      </c>
      <c r="E8">
        <f t="shared" si="0"/>
        <v>0</v>
      </c>
      <c r="G8">
        <v>28.253</v>
      </c>
      <c r="H8">
        <f t="shared" si="1"/>
        <v>2.7456542293984967</v>
      </c>
      <c r="J8">
        <v>28.393000000000001</v>
      </c>
      <c r="K8">
        <f t="shared" si="2"/>
        <v>3.2547821659757119</v>
      </c>
    </row>
    <row r="9" spans="1:12" x14ac:dyDescent="0.25">
      <c r="B9">
        <v>2</v>
      </c>
      <c r="C9">
        <v>1</v>
      </c>
      <c r="D9">
        <v>24.745999999999999</v>
      </c>
      <c r="E9">
        <f t="shared" si="0"/>
        <v>0</v>
      </c>
      <c r="G9">
        <v>25.402999999999999</v>
      </c>
      <c r="H9">
        <f t="shared" si="1"/>
        <v>2.6549745413400103</v>
      </c>
      <c r="J9">
        <v>24.460999999999999</v>
      </c>
      <c r="K9">
        <f t="shared" si="2"/>
        <v>-1.151701285056177</v>
      </c>
    </row>
    <row r="10" spans="1:12" x14ac:dyDescent="0.25">
      <c r="C10">
        <v>2</v>
      </c>
      <c r="D10">
        <v>15.754</v>
      </c>
      <c r="E10">
        <f t="shared" si="0"/>
        <v>0</v>
      </c>
      <c r="G10">
        <v>15.733000000000001</v>
      </c>
      <c r="H10">
        <f t="shared" si="1"/>
        <v>-0.13329947949725351</v>
      </c>
      <c r="J10">
        <v>16.039000000000001</v>
      </c>
      <c r="K10">
        <f t="shared" si="2"/>
        <v>1.8090643646058311</v>
      </c>
    </row>
    <row r="11" spans="1:12" x14ac:dyDescent="0.25">
      <c r="C11">
        <v>3</v>
      </c>
      <c r="D11">
        <v>25.823</v>
      </c>
      <c r="E11">
        <f t="shared" si="0"/>
        <v>0</v>
      </c>
      <c r="G11">
        <v>25.306999999999999</v>
      </c>
      <c r="H11">
        <f t="shared" si="1"/>
        <v>-1.9982186422956403</v>
      </c>
      <c r="J11">
        <v>25.591000000000001</v>
      </c>
      <c r="K11">
        <f t="shared" si="2"/>
        <v>-0.89842388568330023</v>
      </c>
    </row>
    <row r="12" spans="1:12" x14ac:dyDescent="0.25">
      <c r="C12">
        <v>4</v>
      </c>
      <c r="D12">
        <v>26.699000000000002</v>
      </c>
      <c r="E12">
        <f t="shared" si="0"/>
        <v>0</v>
      </c>
      <c r="G12">
        <v>26.725999999999999</v>
      </c>
      <c r="H12">
        <f t="shared" si="1"/>
        <v>0.10112738304805191</v>
      </c>
      <c r="J12">
        <v>26.585999999999999</v>
      </c>
      <c r="K12">
        <f t="shared" si="2"/>
        <v>-0.42323682534927798</v>
      </c>
    </row>
    <row r="13" spans="1:12" x14ac:dyDescent="0.25">
      <c r="C13">
        <v>5</v>
      </c>
      <c r="D13">
        <v>49.518000000000001</v>
      </c>
      <c r="E13">
        <f t="shared" si="0"/>
        <v>0</v>
      </c>
      <c r="G13">
        <v>49.954000000000001</v>
      </c>
      <c r="H13">
        <f t="shared" si="1"/>
        <v>0.88048790338866922</v>
      </c>
      <c r="J13">
        <v>49.78</v>
      </c>
      <c r="K13">
        <f t="shared" si="2"/>
        <v>0.52910052910053196</v>
      </c>
    </row>
    <row r="14" spans="1:12" x14ac:dyDescent="0.25">
      <c r="B14">
        <v>1</v>
      </c>
      <c r="C14">
        <v>1</v>
      </c>
      <c r="D14">
        <v>37.877000000000002</v>
      </c>
      <c r="E14">
        <f t="shared" si="0"/>
        <v>0</v>
      </c>
      <c r="G14">
        <v>37.886000000000003</v>
      </c>
      <c r="H14">
        <f t="shared" si="1"/>
        <v>2.3761121524927376E-2</v>
      </c>
      <c r="J14">
        <v>37.661000000000001</v>
      </c>
      <c r="K14">
        <f t="shared" si="2"/>
        <v>-0.57026691659847017</v>
      </c>
    </row>
    <row r="15" spans="1:12" x14ac:dyDescent="0.25">
      <c r="C15">
        <v>2</v>
      </c>
      <c r="D15">
        <v>19.940000000000001</v>
      </c>
      <c r="E15">
        <f t="shared" si="0"/>
        <v>0</v>
      </c>
      <c r="G15">
        <v>19.722000000000001</v>
      </c>
      <c r="H15">
        <f t="shared" si="1"/>
        <v>-1.0932798395185586</v>
      </c>
      <c r="J15">
        <v>19.902999999999999</v>
      </c>
      <c r="K15">
        <f t="shared" si="2"/>
        <v>-0.18555667001004394</v>
      </c>
    </row>
    <row r="16" spans="1:12" x14ac:dyDescent="0.25">
      <c r="C16">
        <v>3</v>
      </c>
      <c r="D16">
        <v>18.346</v>
      </c>
      <c r="E16">
        <f t="shared" si="0"/>
        <v>0</v>
      </c>
      <c r="G16">
        <v>18.13</v>
      </c>
      <c r="H16">
        <f t="shared" si="1"/>
        <v>-1.1773683636760239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B7B9-25BD-4D5A-8CD8-7BD27ACED503}">
  <dimension ref="A1:AA17"/>
  <sheetViews>
    <sheetView workbookViewId="0">
      <selection activeCell="M1" sqref="M1:AA17"/>
    </sheetView>
  </sheetViews>
  <sheetFormatPr defaultRowHeight="15" x14ac:dyDescent="0.25"/>
  <sheetData>
    <row r="1" spans="1:27" x14ac:dyDescent="0.25">
      <c r="A1" t="s">
        <v>1</v>
      </c>
      <c r="B1" t="s">
        <v>2</v>
      </c>
      <c r="C1" t="s">
        <v>3</v>
      </c>
      <c r="D1" s="1" t="s">
        <v>12</v>
      </c>
      <c r="E1" s="1" t="s">
        <v>5</v>
      </c>
      <c r="F1" s="1" t="s">
        <v>6</v>
      </c>
      <c r="G1" s="1" t="s">
        <v>13</v>
      </c>
      <c r="H1" s="1" t="s">
        <v>5</v>
      </c>
      <c r="I1" s="1" t="s">
        <v>6</v>
      </c>
      <c r="J1" s="1" t="s">
        <v>4</v>
      </c>
      <c r="K1" s="1" t="s">
        <v>5</v>
      </c>
      <c r="L1" s="1" t="s">
        <v>6</v>
      </c>
      <c r="M1" t="s">
        <v>4</v>
      </c>
      <c r="N1" t="s">
        <v>5</v>
      </c>
      <c r="O1" t="s">
        <v>6</v>
      </c>
      <c r="P1" t="s">
        <v>7</v>
      </c>
      <c r="Q1" t="s">
        <v>5</v>
      </c>
      <c r="R1" t="s">
        <v>6</v>
      </c>
      <c r="S1" t="s">
        <v>8</v>
      </c>
      <c r="T1" t="s">
        <v>5</v>
      </c>
      <c r="U1" t="s">
        <v>6</v>
      </c>
      <c r="V1" t="s">
        <v>9</v>
      </c>
      <c r="W1" t="s">
        <v>5</v>
      </c>
      <c r="X1" t="s">
        <v>6</v>
      </c>
      <c r="Y1" t="s">
        <v>10</v>
      </c>
      <c r="Z1" t="s">
        <v>5</v>
      </c>
      <c r="AA1" t="s">
        <v>6</v>
      </c>
    </row>
    <row r="2" spans="1:27" x14ac:dyDescent="0.25">
      <c r="A2" t="s">
        <v>15</v>
      </c>
      <c r="B2">
        <v>4</v>
      </c>
      <c r="C2">
        <v>1</v>
      </c>
      <c r="D2" s="1">
        <v>21.524999999999999</v>
      </c>
      <c r="E2" s="1">
        <f>D2/($D2/100)-100</f>
        <v>0</v>
      </c>
      <c r="F2" s="1">
        <v>4</v>
      </c>
      <c r="G2" s="1"/>
      <c r="H2" s="1"/>
      <c r="I2" s="1">
        <v>7</v>
      </c>
      <c r="J2" s="1">
        <v>21.385000000000002</v>
      </c>
      <c r="K2" s="1">
        <f>J2/($D2/100)-100</f>
        <v>-0.65040650406503175</v>
      </c>
      <c r="L2" s="1">
        <v>7</v>
      </c>
      <c r="M2">
        <v>21.664999999999999</v>
      </c>
      <c r="N2">
        <f>M2/($D2/100)-100</f>
        <v>0.65040650406503175</v>
      </c>
      <c r="O2">
        <v>10</v>
      </c>
      <c r="P2">
        <v>21.457000000000001</v>
      </c>
      <c r="Q2">
        <f>P2/($D2/100)-100</f>
        <v>-0.31591173054587784</v>
      </c>
      <c r="R2">
        <v>13</v>
      </c>
      <c r="S2">
        <v>21.687000000000001</v>
      </c>
      <c r="T2">
        <f>S2/($D2/100)-100</f>
        <v>0.75261324041812827</v>
      </c>
      <c r="U2">
        <v>15</v>
      </c>
      <c r="V2">
        <v>21.977</v>
      </c>
      <c r="W2">
        <f>V2/($D2/100)-100</f>
        <v>2.0998838559814175</v>
      </c>
      <c r="X2">
        <v>18</v>
      </c>
      <c r="Y2">
        <v>22.553999999999998</v>
      </c>
      <c r="Z2">
        <f>Y2/($D2/100)-100</f>
        <v>4.7804878048780495</v>
      </c>
      <c r="AA2">
        <v>23</v>
      </c>
    </row>
    <row r="3" spans="1:27" x14ac:dyDescent="0.25">
      <c r="C3">
        <v>2</v>
      </c>
      <c r="D3" s="1">
        <v>14.662000000000001</v>
      </c>
      <c r="E3" s="1">
        <f t="shared" ref="E3:E17" si="0">D3/($D3/100)-100</f>
        <v>0</v>
      </c>
      <c r="F3" s="1"/>
      <c r="G3" s="1"/>
      <c r="H3" s="1"/>
      <c r="I3" s="1"/>
      <c r="J3" s="1">
        <v>14.446999999999999</v>
      </c>
      <c r="K3" s="1">
        <f t="shared" ref="K3:K17" si="1">J3/($D3/100)-100</f>
        <v>-1.4663756649843123</v>
      </c>
      <c r="L3" s="1"/>
      <c r="M3">
        <v>14.162000000000001</v>
      </c>
      <c r="P3">
        <v>14.484</v>
      </c>
      <c r="Q3">
        <f t="shared" ref="Q3:Q17" si="2">P3/($D3/100)-100</f>
        <v>-1.2140226435684127</v>
      </c>
      <c r="S3">
        <v>14.49</v>
      </c>
      <c r="T3">
        <f t="shared" ref="T3:T17" si="3">S3/($D3/100)-100</f>
        <v>-1.1731005319874441</v>
      </c>
      <c r="V3">
        <v>14.83</v>
      </c>
      <c r="W3">
        <f t="shared" ref="W3:W17" si="4">V3/($D3/100)-100</f>
        <v>1.1458191242668079</v>
      </c>
      <c r="Y3">
        <v>14.941000000000001</v>
      </c>
      <c r="Z3">
        <f t="shared" ref="Z3:Z17" si="5">Y3/($D3/100)-100</f>
        <v>1.9028781885145349</v>
      </c>
    </row>
    <row r="4" spans="1:27" x14ac:dyDescent="0.25">
      <c r="C4">
        <v>3</v>
      </c>
      <c r="D4" s="1">
        <v>24.411999999999999</v>
      </c>
      <c r="E4" s="1">
        <f t="shared" si="0"/>
        <v>0</v>
      </c>
      <c r="F4" s="1"/>
      <c r="G4" s="1"/>
      <c r="H4" s="1"/>
      <c r="I4" s="1"/>
      <c r="J4" s="1">
        <v>24.56</v>
      </c>
      <c r="K4" s="1">
        <f t="shared" si="1"/>
        <v>0.60625921677862493</v>
      </c>
      <c r="L4" s="1"/>
      <c r="M4">
        <v>24.417000000000002</v>
      </c>
      <c r="N4">
        <f t="shared" ref="N4:N17" si="6">M4/($D4/100)-100</f>
        <v>2.0481730296580736E-2</v>
      </c>
      <c r="P4">
        <v>24.353000000000002</v>
      </c>
      <c r="Q4">
        <f t="shared" si="2"/>
        <v>-0.24168441749958447</v>
      </c>
      <c r="S4">
        <v>24.321000000000002</v>
      </c>
      <c r="T4">
        <f t="shared" si="3"/>
        <v>-0.37276749139766707</v>
      </c>
      <c r="V4">
        <v>24.74</v>
      </c>
      <c r="W4">
        <f t="shared" si="4"/>
        <v>1.3436015074553467</v>
      </c>
      <c r="Y4">
        <v>25.321000000000002</v>
      </c>
      <c r="Z4">
        <f t="shared" si="5"/>
        <v>3.7235785679174285</v>
      </c>
    </row>
    <row r="5" spans="1:27" x14ac:dyDescent="0.25">
      <c r="C5">
        <v>4</v>
      </c>
      <c r="D5" s="1">
        <v>44.625999999999998</v>
      </c>
      <c r="E5" s="1">
        <f t="shared" si="0"/>
        <v>0</v>
      </c>
      <c r="F5" s="1"/>
      <c r="G5" s="1"/>
      <c r="H5" s="1"/>
      <c r="I5" s="1"/>
      <c r="J5" s="1">
        <v>44.67</v>
      </c>
      <c r="K5" s="1">
        <f t="shared" si="1"/>
        <v>9.8597230314169337E-2</v>
      </c>
      <c r="L5" s="1"/>
      <c r="M5">
        <v>44.802999999999997</v>
      </c>
      <c r="N5">
        <f t="shared" si="6"/>
        <v>0.39662976740017086</v>
      </c>
      <c r="P5">
        <v>45.792999999999999</v>
      </c>
      <c r="Q5">
        <f t="shared" si="2"/>
        <v>2.6150674494689241</v>
      </c>
      <c r="S5">
        <v>46.008000000000003</v>
      </c>
      <c r="T5">
        <f t="shared" si="3"/>
        <v>3.0968493703222464</v>
      </c>
      <c r="V5">
        <v>45.942999999999998</v>
      </c>
      <c r="W5">
        <f t="shared" si="4"/>
        <v>2.9511943709944859</v>
      </c>
      <c r="Y5">
        <v>46.575000000000003</v>
      </c>
      <c r="Z5">
        <f t="shared" si="5"/>
        <v>4.3674091336888949</v>
      </c>
    </row>
    <row r="6" spans="1:27" x14ac:dyDescent="0.25">
      <c r="C6">
        <v>5</v>
      </c>
      <c r="D6" s="1">
        <v>32.649000000000001</v>
      </c>
      <c r="E6" s="1">
        <f t="shared" si="0"/>
        <v>0</v>
      </c>
      <c r="F6" s="1"/>
      <c r="G6" s="1"/>
      <c r="H6" s="1"/>
      <c r="I6" s="1"/>
      <c r="J6" s="1">
        <v>32.637</v>
      </c>
      <c r="K6" s="1">
        <f t="shared" si="1"/>
        <v>-3.6754571349817411E-2</v>
      </c>
      <c r="L6" s="1"/>
      <c r="M6">
        <v>32.606000000000002</v>
      </c>
      <c r="N6">
        <f t="shared" si="6"/>
        <v>-0.13170388067015892</v>
      </c>
      <c r="P6">
        <v>32.683999999999997</v>
      </c>
      <c r="Q6">
        <f t="shared" si="2"/>
        <v>0.10720083310360451</v>
      </c>
      <c r="S6">
        <v>32.831000000000003</v>
      </c>
      <c r="T6">
        <f t="shared" si="3"/>
        <v>0.5574443321388145</v>
      </c>
      <c r="V6">
        <v>33.362000000000002</v>
      </c>
      <c r="W6">
        <f t="shared" si="4"/>
        <v>2.1838341143679827</v>
      </c>
      <c r="Y6">
        <v>33.862000000000002</v>
      </c>
      <c r="Z6">
        <f t="shared" si="5"/>
        <v>3.7152745872767952</v>
      </c>
    </row>
    <row r="7" spans="1:27" x14ac:dyDescent="0.25">
      <c r="B7">
        <v>3</v>
      </c>
      <c r="C7">
        <v>1</v>
      </c>
      <c r="D7" s="1">
        <v>41.314999999999998</v>
      </c>
      <c r="E7" s="1">
        <f t="shared" si="0"/>
        <v>0</v>
      </c>
      <c r="F7" s="1"/>
      <c r="G7" s="1"/>
      <c r="H7" s="1"/>
      <c r="I7" s="1"/>
      <c r="J7" s="1">
        <v>41.573</v>
      </c>
      <c r="K7" s="1">
        <f t="shared" si="1"/>
        <v>0.62447053128404661</v>
      </c>
      <c r="L7" s="1"/>
      <c r="M7">
        <v>41.624000000000002</v>
      </c>
      <c r="N7">
        <f t="shared" si="6"/>
        <v>0.747912380491357</v>
      </c>
      <c r="P7">
        <v>42.182000000000002</v>
      </c>
      <c r="Q7">
        <f t="shared" si="2"/>
        <v>2.0985114365242765</v>
      </c>
      <c r="S7">
        <v>42.805</v>
      </c>
      <c r="T7">
        <f t="shared" si="3"/>
        <v>3.6064383395861199</v>
      </c>
      <c r="V7">
        <v>43.347000000000001</v>
      </c>
      <c r="W7">
        <f t="shared" si="4"/>
        <v>4.9183105409657628</v>
      </c>
      <c r="Y7">
        <v>43.463000000000001</v>
      </c>
      <c r="Z7">
        <f t="shared" si="5"/>
        <v>5.1990802372019971</v>
      </c>
    </row>
    <row r="8" spans="1:27" x14ac:dyDescent="0.25">
      <c r="C8">
        <v>2</v>
      </c>
      <c r="D8" s="1">
        <v>19.869</v>
      </c>
      <c r="E8" s="1">
        <f t="shared" si="0"/>
        <v>0</v>
      </c>
      <c r="F8" s="1"/>
      <c r="G8" s="1"/>
      <c r="H8" s="1"/>
      <c r="I8" s="1"/>
      <c r="J8" s="1">
        <v>20.010999999999999</v>
      </c>
      <c r="K8" s="1">
        <f t="shared" si="1"/>
        <v>0.71468116160852446</v>
      </c>
      <c r="L8" s="1"/>
      <c r="M8">
        <v>20.010999999999999</v>
      </c>
      <c r="N8">
        <f t="shared" si="6"/>
        <v>0.71468116160852446</v>
      </c>
      <c r="P8">
        <v>20.442</v>
      </c>
      <c r="Q8">
        <f t="shared" si="2"/>
        <v>2.8838894760682479</v>
      </c>
      <c r="S8">
        <v>20.155999999999999</v>
      </c>
      <c r="T8">
        <f t="shared" si="3"/>
        <v>1.4444612209975247</v>
      </c>
      <c r="V8">
        <v>20.376000000000001</v>
      </c>
      <c r="W8">
        <f t="shared" si="4"/>
        <v>2.5517137248980788</v>
      </c>
      <c r="Y8">
        <v>20.988</v>
      </c>
      <c r="Z8">
        <f t="shared" si="5"/>
        <v>5.6318888721123272</v>
      </c>
    </row>
    <row r="9" spans="1:27" x14ac:dyDescent="0.25">
      <c r="C9">
        <v>3</v>
      </c>
      <c r="D9" s="1">
        <v>13.759</v>
      </c>
      <c r="E9" s="1">
        <f t="shared" si="0"/>
        <v>0</v>
      </c>
      <c r="F9" s="1"/>
      <c r="G9" s="1"/>
      <c r="H9" s="1"/>
      <c r="I9" s="1"/>
      <c r="J9" s="1">
        <v>13.867000000000001</v>
      </c>
      <c r="K9" s="1">
        <f t="shared" si="1"/>
        <v>0.78494076604405905</v>
      </c>
      <c r="L9" s="1"/>
      <c r="M9">
        <v>13.949</v>
      </c>
      <c r="N9">
        <f t="shared" si="6"/>
        <v>1.3809143106330453</v>
      </c>
      <c r="P9">
        <v>14.090999999999999</v>
      </c>
      <c r="Q9">
        <f t="shared" si="2"/>
        <v>2.4129660585798405</v>
      </c>
      <c r="S9">
        <v>13.952999999999999</v>
      </c>
      <c r="T9">
        <f t="shared" si="3"/>
        <v>1.4099861908568982</v>
      </c>
      <c r="V9">
        <v>14.271000000000001</v>
      </c>
      <c r="W9">
        <f t="shared" si="4"/>
        <v>3.7212006686532533</v>
      </c>
      <c r="Y9">
        <v>14.55</v>
      </c>
      <c r="Z9">
        <f t="shared" si="5"/>
        <v>5.7489643142670417</v>
      </c>
    </row>
    <row r="10" spans="1:27" x14ac:dyDescent="0.25">
      <c r="C10">
        <v>4</v>
      </c>
      <c r="D10" s="1">
        <v>11.164</v>
      </c>
      <c r="E10" s="1">
        <f t="shared" si="0"/>
        <v>0</v>
      </c>
      <c r="F10" s="1"/>
      <c r="G10" s="1"/>
      <c r="H10" s="1"/>
      <c r="I10" s="1"/>
      <c r="J10" s="1">
        <v>11.271000000000001</v>
      </c>
      <c r="K10" s="1">
        <f t="shared" si="1"/>
        <v>0.95843783590110831</v>
      </c>
      <c r="L10" s="1"/>
      <c r="M10">
        <v>11.352</v>
      </c>
      <c r="N10">
        <f t="shared" si="6"/>
        <v>1.6839842350412084</v>
      </c>
      <c r="P10">
        <v>11.454000000000001</v>
      </c>
      <c r="Q10">
        <f t="shared" si="2"/>
        <v>2.5976352561805811</v>
      </c>
      <c r="S10">
        <v>11.500999999999999</v>
      </c>
      <c r="T10">
        <f t="shared" si="3"/>
        <v>3.0186313149408761</v>
      </c>
      <c r="V10">
        <v>11.534000000000001</v>
      </c>
      <c r="W10">
        <f t="shared" si="4"/>
        <v>3.3142242923683369</v>
      </c>
      <c r="Y10">
        <v>11.839</v>
      </c>
      <c r="Z10">
        <f t="shared" si="5"/>
        <v>6.0462199928341107</v>
      </c>
    </row>
    <row r="11" spans="1:27" x14ac:dyDescent="0.25">
      <c r="B11">
        <v>2</v>
      </c>
      <c r="C11">
        <v>1</v>
      </c>
      <c r="D11" s="1">
        <v>28.97</v>
      </c>
      <c r="E11" s="1">
        <f t="shared" si="0"/>
        <v>0</v>
      </c>
      <c r="F11" s="1"/>
      <c r="G11" s="1"/>
      <c r="H11" s="1"/>
      <c r="I11" s="1"/>
      <c r="J11" s="1">
        <v>28.890999999999998</v>
      </c>
      <c r="K11" s="1">
        <f t="shared" si="1"/>
        <v>-0.27269589230239433</v>
      </c>
      <c r="L11" s="1"/>
      <c r="M11">
        <v>28.849</v>
      </c>
      <c r="N11">
        <f t="shared" si="6"/>
        <v>-0.41767345529858346</v>
      </c>
      <c r="P11">
        <v>28.76</v>
      </c>
      <c r="Q11">
        <f t="shared" si="2"/>
        <v>-0.72488781498101673</v>
      </c>
      <c r="S11">
        <v>29.067</v>
      </c>
      <c r="T11">
        <f t="shared" si="3"/>
        <v>0.33482913358646726</v>
      </c>
      <c r="V11">
        <v>29.581</v>
      </c>
      <c r="W11">
        <f t="shared" si="4"/>
        <v>2.1090783569209464</v>
      </c>
      <c r="Y11">
        <v>29.722000000000001</v>
      </c>
      <c r="Z11">
        <f t="shared" si="5"/>
        <v>2.5957887469796361</v>
      </c>
    </row>
    <row r="12" spans="1:27" x14ac:dyDescent="0.25">
      <c r="C12">
        <v>2</v>
      </c>
      <c r="D12" s="1">
        <v>24.350999999999999</v>
      </c>
      <c r="E12" s="1">
        <f t="shared" si="0"/>
        <v>0</v>
      </c>
      <c r="F12" s="1"/>
      <c r="G12" s="1"/>
      <c r="H12" s="1"/>
      <c r="I12" s="1"/>
      <c r="J12" s="1">
        <v>24.425999999999998</v>
      </c>
      <c r="K12" s="1">
        <f t="shared" si="1"/>
        <v>0.30799556486385882</v>
      </c>
      <c r="L12" s="1"/>
      <c r="M12">
        <v>24.524999999999999</v>
      </c>
      <c r="N12">
        <f t="shared" si="6"/>
        <v>0.71454971048416382</v>
      </c>
      <c r="P12">
        <v>25.181000000000001</v>
      </c>
      <c r="Q12">
        <f t="shared" si="2"/>
        <v>3.4084842511601181</v>
      </c>
      <c r="S12">
        <v>25.145</v>
      </c>
      <c r="T12">
        <f t="shared" si="3"/>
        <v>3.260646380025463</v>
      </c>
      <c r="V12">
        <v>25.725999999999999</v>
      </c>
      <c r="W12">
        <f t="shared" si="4"/>
        <v>5.6465853558375301</v>
      </c>
      <c r="Y12">
        <v>25.27</v>
      </c>
      <c r="Z12">
        <f t="shared" si="5"/>
        <v>3.7739723214652372</v>
      </c>
    </row>
    <row r="13" spans="1:27" x14ac:dyDescent="0.25">
      <c r="C13">
        <v>3</v>
      </c>
      <c r="D13" s="1">
        <v>29.911000000000001</v>
      </c>
      <c r="E13" s="1">
        <f t="shared" si="0"/>
        <v>0</v>
      </c>
      <c r="F13" s="1"/>
      <c r="G13" s="1"/>
      <c r="H13" s="1"/>
      <c r="I13" s="1"/>
      <c r="J13" s="1">
        <v>30.138999999999999</v>
      </c>
      <c r="K13" s="1">
        <f t="shared" si="1"/>
        <v>0.76226137541372907</v>
      </c>
      <c r="L13" s="1"/>
      <c r="M13">
        <v>29.917000000000002</v>
      </c>
      <c r="N13">
        <f t="shared" si="6"/>
        <v>2.0059509879317261E-2</v>
      </c>
      <c r="P13">
        <v>30.13</v>
      </c>
      <c r="Q13">
        <f t="shared" si="2"/>
        <v>0.73217211059476028</v>
      </c>
      <c r="S13">
        <v>30.135999999999999</v>
      </c>
      <c r="T13">
        <f t="shared" si="3"/>
        <v>0.75223162047407754</v>
      </c>
      <c r="V13">
        <v>30.577000000000002</v>
      </c>
      <c r="W13">
        <f t="shared" si="4"/>
        <v>2.2266055966032638</v>
      </c>
      <c r="Y13">
        <v>31.332999999999998</v>
      </c>
      <c r="Z13">
        <f t="shared" si="5"/>
        <v>4.7541038413961445</v>
      </c>
    </row>
    <row r="14" spans="1:27" x14ac:dyDescent="0.25">
      <c r="C14">
        <v>4</v>
      </c>
      <c r="D14" s="1">
        <v>40.408000000000001</v>
      </c>
      <c r="E14" s="1">
        <f t="shared" si="0"/>
        <v>0</v>
      </c>
      <c r="F14" s="1"/>
      <c r="G14" s="1"/>
      <c r="H14" s="1"/>
      <c r="I14" s="1"/>
      <c r="J14" s="1">
        <v>40.478000000000002</v>
      </c>
      <c r="K14" s="1">
        <f t="shared" si="1"/>
        <v>0.17323302316373201</v>
      </c>
      <c r="L14" s="1"/>
      <c r="M14">
        <v>40.838000000000001</v>
      </c>
      <c r="N14">
        <f t="shared" si="6"/>
        <v>1.0641457137200661</v>
      </c>
      <c r="P14">
        <v>42.168999999999997</v>
      </c>
      <c r="Q14">
        <f t="shared" si="2"/>
        <v>4.3580479113046806</v>
      </c>
      <c r="S14">
        <v>42.466000000000001</v>
      </c>
      <c r="T14">
        <f t="shared" si="3"/>
        <v>5.0930508810136672</v>
      </c>
    </row>
    <row r="15" spans="1:27" x14ac:dyDescent="0.25">
      <c r="B15">
        <v>1</v>
      </c>
      <c r="C15">
        <v>1</v>
      </c>
      <c r="D15" s="1">
        <v>49.197000000000003</v>
      </c>
      <c r="E15" s="1">
        <f t="shared" si="0"/>
        <v>0</v>
      </c>
      <c r="F15" s="1"/>
      <c r="G15" s="1"/>
      <c r="H15" s="1"/>
      <c r="I15" s="1"/>
      <c r="J15" s="1">
        <v>48.734999999999999</v>
      </c>
      <c r="K15" s="1">
        <f t="shared" si="1"/>
        <v>-0.93908165132020827</v>
      </c>
      <c r="L15" s="1"/>
      <c r="M15">
        <v>48.95</v>
      </c>
      <c r="N15">
        <f t="shared" si="6"/>
        <v>-0.50206313393093183</v>
      </c>
      <c r="P15">
        <v>48.835999999999999</v>
      </c>
      <c r="Q15">
        <f t="shared" si="2"/>
        <v>-0.73378458036059158</v>
      </c>
      <c r="S15">
        <v>48.843000000000004</v>
      </c>
      <c r="T15">
        <f t="shared" si="3"/>
        <v>-0.71955607049210357</v>
      </c>
      <c r="V15">
        <v>49.072000000000003</v>
      </c>
      <c r="W15">
        <f t="shared" si="4"/>
        <v>-0.25408053336585112</v>
      </c>
      <c r="Y15">
        <v>50.267000000000003</v>
      </c>
      <c r="Z15">
        <f t="shared" si="5"/>
        <v>2.1749293656117317</v>
      </c>
    </row>
    <row r="16" spans="1:27" x14ac:dyDescent="0.25">
      <c r="C16">
        <v>2</v>
      </c>
      <c r="D16" s="1">
        <v>69.391999999999996</v>
      </c>
      <c r="E16" s="1">
        <f t="shared" si="0"/>
        <v>0</v>
      </c>
      <c r="F16" s="1"/>
      <c r="G16" s="1"/>
      <c r="H16" s="1"/>
      <c r="I16" s="1"/>
      <c r="J16" s="1">
        <v>69.385999999999996</v>
      </c>
      <c r="K16" s="1">
        <f t="shared" si="1"/>
        <v>-8.6465298593481066E-3</v>
      </c>
      <c r="L16" s="1"/>
      <c r="M16">
        <v>69.155000000000001</v>
      </c>
      <c r="N16">
        <f t="shared" si="6"/>
        <v>-0.34153792944431416</v>
      </c>
      <c r="P16">
        <v>69.188000000000002</v>
      </c>
      <c r="Q16">
        <f t="shared" si="2"/>
        <v>-0.29398201521789247</v>
      </c>
      <c r="S16">
        <v>69.418999999999997</v>
      </c>
      <c r="T16">
        <f t="shared" si="3"/>
        <v>3.8909384367073585E-2</v>
      </c>
      <c r="V16">
        <v>70.921999999999997</v>
      </c>
      <c r="W16">
        <f t="shared" si="4"/>
        <v>2.2048651141341935</v>
      </c>
      <c r="Y16">
        <v>72.213999999999999</v>
      </c>
      <c r="Z16">
        <f t="shared" si="5"/>
        <v>4.0667512105141839</v>
      </c>
    </row>
    <row r="17" spans="3:26" x14ac:dyDescent="0.25">
      <c r="C17">
        <v>3</v>
      </c>
      <c r="D17" s="1">
        <v>14.178000000000001</v>
      </c>
      <c r="E17" s="1">
        <f t="shared" si="0"/>
        <v>0</v>
      </c>
      <c r="F17" s="1"/>
      <c r="G17" s="1"/>
      <c r="H17" s="1"/>
      <c r="I17" s="1"/>
      <c r="J17" s="1">
        <v>14.026999999999999</v>
      </c>
      <c r="K17" s="1">
        <f t="shared" si="1"/>
        <v>-1.0650303286782474</v>
      </c>
      <c r="L17" s="1"/>
      <c r="M17">
        <v>14.334</v>
      </c>
      <c r="N17">
        <f t="shared" si="6"/>
        <v>1.1002962336013411</v>
      </c>
      <c r="P17">
        <v>14.36</v>
      </c>
      <c r="Q17">
        <f t="shared" si="2"/>
        <v>1.2836789392015646</v>
      </c>
      <c r="S17">
        <v>14.148</v>
      </c>
      <c r="T17">
        <f t="shared" si="3"/>
        <v>-0.21159542953873256</v>
      </c>
      <c r="V17">
        <v>14.849</v>
      </c>
      <c r="W17">
        <f t="shared" si="4"/>
        <v>4.732684440682732</v>
      </c>
      <c r="Y17">
        <v>14.974</v>
      </c>
      <c r="Z17">
        <f t="shared" si="5"/>
        <v>5.6143320637607417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A363-4015-4FAF-B946-ABA12591C796}">
  <dimension ref="A1:S64"/>
  <sheetViews>
    <sheetView tabSelected="1" workbookViewId="0">
      <selection activeCell="G31" sqref="G31"/>
    </sheetView>
  </sheetViews>
  <sheetFormatPr defaultRowHeight="15" x14ac:dyDescent="0.25"/>
  <cols>
    <col min="4" max="4" width="12.85546875" bestFit="1" customWidth="1"/>
    <col min="6" max="6" width="12.85546875" bestFit="1" customWidth="1"/>
    <col min="8" max="8" width="12.85546875" bestFit="1" customWidth="1"/>
    <col min="10" max="10" width="12.85546875" bestFit="1" customWidth="1"/>
    <col min="12" max="12" width="12.85546875" bestFit="1" customWidth="1"/>
    <col min="14" max="14" width="12.85546875" bestFit="1" customWidth="1"/>
    <col min="16" max="16" width="12.85546875" bestFit="1" customWidth="1"/>
    <col min="18" max="18" width="12.85546875" bestFit="1" customWidth="1"/>
  </cols>
  <sheetData>
    <row r="1" spans="1:19" x14ac:dyDescent="0.25">
      <c r="A1" t="s">
        <v>1</v>
      </c>
      <c r="B1" t="s">
        <v>2</v>
      </c>
      <c r="C1" t="s">
        <v>3</v>
      </c>
      <c r="D1" t="s">
        <v>12</v>
      </c>
      <c r="E1" t="s">
        <v>5</v>
      </c>
      <c r="F1" t="s">
        <v>13</v>
      </c>
      <c r="G1" t="s">
        <v>5</v>
      </c>
      <c r="H1" t="s">
        <v>4</v>
      </c>
      <c r="I1" t="s">
        <v>5</v>
      </c>
      <c r="J1" t="s">
        <v>4</v>
      </c>
      <c r="K1" t="s">
        <v>5</v>
      </c>
      <c r="L1" t="s">
        <v>7</v>
      </c>
      <c r="M1" t="s">
        <v>5</v>
      </c>
      <c r="N1" t="s">
        <v>8</v>
      </c>
      <c r="O1" t="s">
        <v>5</v>
      </c>
      <c r="P1" t="s">
        <v>9</v>
      </c>
      <c r="Q1" t="s">
        <v>5</v>
      </c>
      <c r="R1" t="s">
        <v>10</v>
      </c>
      <c r="S1" t="s">
        <v>5</v>
      </c>
    </row>
    <row r="2" spans="1:19" x14ac:dyDescent="0.25">
      <c r="A2" t="s">
        <v>15</v>
      </c>
      <c r="B2">
        <v>4</v>
      </c>
      <c r="C2">
        <v>1</v>
      </c>
      <c r="D2" s="2">
        <v>21.524999999999999</v>
      </c>
      <c r="E2" s="2">
        <f>D2/($D2/100)-100</f>
        <v>0</v>
      </c>
      <c r="F2" s="2"/>
      <c r="G2" s="2"/>
      <c r="H2" s="2">
        <v>21.385000000000002</v>
      </c>
      <c r="I2" s="2">
        <f>H2/($D2/100)-100</f>
        <v>-0.65040650406503175</v>
      </c>
      <c r="J2">
        <v>21.664999999999999</v>
      </c>
      <c r="K2">
        <f>J2/($D2/100)-100</f>
        <v>0.65040650406503175</v>
      </c>
      <c r="L2">
        <v>21.457000000000001</v>
      </c>
      <c r="M2">
        <f>L2/($D2/100)-100</f>
        <v>-0.31591173054587784</v>
      </c>
      <c r="N2">
        <v>21.687000000000001</v>
      </c>
      <c r="O2">
        <f>N2/($D2/100)-100</f>
        <v>0.75261324041812827</v>
      </c>
      <c r="P2">
        <v>21.977</v>
      </c>
      <c r="Q2">
        <f>P2/($D2/100)-100</f>
        <v>2.0998838559814175</v>
      </c>
      <c r="R2">
        <v>22.553999999999998</v>
      </c>
      <c r="S2">
        <f>R2/($D2/100)-100</f>
        <v>4.7804878048780495</v>
      </c>
    </row>
    <row r="3" spans="1:19" x14ac:dyDescent="0.25">
      <c r="C3">
        <v>2</v>
      </c>
      <c r="D3" s="2">
        <v>14.662000000000001</v>
      </c>
      <c r="E3" s="2">
        <f t="shared" ref="E3:E17" si="0">D3/($D3/100)-100</f>
        <v>0</v>
      </c>
      <c r="F3" s="2"/>
      <c r="G3" s="2"/>
      <c r="H3" s="2">
        <v>14.446999999999999</v>
      </c>
      <c r="I3" s="2">
        <f t="shared" ref="I3:I17" si="1">H3/($D3/100)-100</f>
        <v>-1.4663756649843123</v>
      </c>
      <c r="J3">
        <v>14.162000000000001</v>
      </c>
      <c r="L3">
        <v>14.484</v>
      </c>
      <c r="M3">
        <f t="shared" ref="M3:M17" si="2">L3/($D3/100)-100</f>
        <v>-1.2140226435684127</v>
      </c>
      <c r="N3">
        <v>14.49</v>
      </c>
      <c r="O3">
        <f t="shared" ref="O3:O17" si="3">N3/($D3/100)-100</f>
        <v>-1.1731005319874441</v>
      </c>
      <c r="P3">
        <v>14.83</v>
      </c>
      <c r="Q3">
        <f t="shared" ref="Q3:Q17" si="4">P3/($D3/100)-100</f>
        <v>1.1458191242668079</v>
      </c>
      <c r="R3">
        <v>14.941000000000001</v>
      </c>
      <c r="S3">
        <f t="shared" ref="S3:S17" si="5">R3/($D3/100)-100</f>
        <v>1.9028781885145349</v>
      </c>
    </row>
    <row r="4" spans="1:19" x14ac:dyDescent="0.25">
      <c r="C4">
        <v>3</v>
      </c>
      <c r="D4" s="2">
        <v>24.411999999999999</v>
      </c>
      <c r="E4" s="2">
        <f t="shared" si="0"/>
        <v>0</v>
      </c>
      <c r="F4" s="2"/>
      <c r="G4" s="2"/>
      <c r="H4" s="2">
        <v>24.56</v>
      </c>
      <c r="I4" s="2">
        <f t="shared" si="1"/>
        <v>0.60625921677862493</v>
      </c>
      <c r="J4">
        <v>24.417000000000002</v>
      </c>
      <c r="K4">
        <f t="shared" ref="K4:K17" si="6">J4/($D4/100)-100</f>
        <v>2.0481730296580736E-2</v>
      </c>
      <c r="L4">
        <v>24.353000000000002</v>
      </c>
      <c r="M4">
        <f t="shared" si="2"/>
        <v>-0.24168441749958447</v>
      </c>
      <c r="N4">
        <v>24.321000000000002</v>
      </c>
      <c r="O4">
        <f t="shared" si="3"/>
        <v>-0.37276749139766707</v>
      </c>
      <c r="P4">
        <v>24.74</v>
      </c>
      <c r="Q4">
        <f t="shared" si="4"/>
        <v>1.3436015074553467</v>
      </c>
      <c r="R4">
        <v>25.321000000000002</v>
      </c>
      <c r="S4">
        <f t="shared" si="5"/>
        <v>3.7235785679174285</v>
      </c>
    </row>
    <row r="5" spans="1:19" x14ac:dyDescent="0.25">
      <c r="C5">
        <v>4</v>
      </c>
      <c r="D5" s="2">
        <v>44.625999999999998</v>
      </c>
      <c r="E5" s="2">
        <f t="shared" si="0"/>
        <v>0</v>
      </c>
      <c r="F5" s="2"/>
      <c r="G5" s="2"/>
      <c r="H5" s="2">
        <v>44.67</v>
      </c>
      <c r="I5" s="2">
        <f t="shared" si="1"/>
        <v>9.8597230314169337E-2</v>
      </c>
      <c r="J5">
        <v>44.802999999999997</v>
      </c>
      <c r="K5">
        <f t="shared" si="6"/>
        <v>0.39662976740017086</v>
      </c>
      <c r="L5">
        <v>45.792999999999999</v>
      </c>
      <c r="M5">
        <f t="shared" si="2"/>
        <v>2.6150674494689241</v>
      </c>
      <c r="N5">
        <v>46.008000000000003</v>
      </c>
      <c r="O5">
        <f t="shared" si="3"/>
        <v>3.0968493703222464</v>
      </c>
      <c r="P5">
        <v>45.942999999999998</v>
      </c>
      <c r="Q5">
        <f t="shared" si="4"/>
        <v>2.9511943709944859</v>
      </c>
      <c r="R5">
        <v>46.575000000000003</v>
      </c>
      <c r="S5">
        <f t="shared" si="5"/>
        <v>4.3674091336888949</v>
      </c>
    </row>
    <row r="6" spans="1:19" x14ac:dyDescent="0.25">
      <c r="C6">
        <v>5</v>
      </c>
      <c r="D6" s="2">
        <v>32.649000000000001</v>
      </c>
      <c r="E6" s="2">
        <f t="shared" si="0"/>
        <v>0</v>
      </c>
      <c r="F6" s="2"/>
      <c r="G6" s="2"/>
      <c r="H6" s="2">
        <v>32.637</v>
      </c>
      <c r="I6" s="2">
        <f t="shared" si="1"/>
        <v>-3.6754571349817411E-2</v>
      </c>
      <c r="J6">
        <v>32.606000000000002</v>
      </c>
      <c r="K6">
        <f t="shared" si="6"/>
        <v>-0.13170388067015892</v>
      </c>
      <c r="L6">
        <v>32.683999999999997</v>
      </c>
      <c r="M6">
        <f t="shared" si="2"/>
        <v>0.10720083310360451</v>
      </c>
      <c r="N6">
        <v>32.831000000000003</v>
      </c>
      <c r="O6">
        <f t="shared" si="3"/>
        <v>0.5574443321388145</v>
      </c>
      <c r="P6">
        <v>33.362000000000002</v>
      </c>
      <c r="Q6">
        <f t="shared" si="4"/>
        <v>2.1838341143679827</v>
      </c>
      <c r="R6">
        <v>33.862000000000002</v>
      </c>
      <c r="S6">
        <f t="shared" si="5"/>
        <v>3.7152745872767952</v>
      </c>
    </row>
    <row r="7" spans="1:19" x14ac:dyDescent="0.25">
      <c r="B7">
        <v>3</v>
      </c>
      <c r="C7">
        <v>1</v>
      </c>
      <c r="D7" s="2">
        <v>41.314999999999998</v>
      </c>
      <c r="E7" s="2">
        <f t="shared" si="0"/>
        <v>0</v>
      </c>
      <c r="F7" s="2"/>
      <c r="G7" s="2"/>
      <c r="H7" s="2">
        <v>41.573</v>
      </c>
      <c r="I7" s="2">
        <f t="shared" si="1"/>
        <v>0.62447053128404661</v>
      </c>
      <c r="J7">
        <v>41.624000000000002</v>
      </c>
      <c r="K7">
        <f t="shared" si="6"/>
        <v>0.747912380491357</v>
      </c>
      <c r="L7">
        <v>42.182000000000002</v>
      </c>
      <c r="M7">
        <f t="shared" si="2"/>
        <v>2.0985114365242765</v>
      </c>
      <c r="N7">
        <v>42.805</v>
      </c>
      <c r="O7">
        <f t="shared" si="3"/>
        <v>3.6064383395861199</v>
      </c>
      <c r="P7">
        <v>43.347000000000001</v>
      </c>
      <c r="Q7">
        <f t="shared" si="4"/>
        <v>4.9183105409657628</v>
      </c>
      <c r="R7">
        <v>43.463000000000001</v>
      </c>
      <c r="S7">
        <f t="shared" si="5"/>
        <v>5.1990802372019971</v>
      </c>
    </row>
    <row r="8" spans="1:19" x14ac:dyDescent="0.25">
      <c r="C8">
        <v>2</v>
      </c>
      <c r="D8" s="2">
        <v>19.869</v>
      </c>
      <c r="E8" s="2">
        <f t="shared" si="0"/>
        <v>0</v>
      </c>
      <c r="F8" s="2"/>
      <c r="G8" s="2"/>
      <c r="H8" s="2">
        <v>20.010999999999999</v>
      </c>
      <c r="I8" s="2">
        <f t="shared" si="1"/>
        <v>0.71468116160852446</v>
      </c>
      <c r="J8">
        <v>20.010999999999999</v>
      </c>
      <c r="K8">
        <f t="shared" si="6"/>
        <v>0.71468116160852446</v>
      </c>
      <c r="L8">
        <v>20.442</v>
      </c>
      <c r="M8">
        <f t="shared" si="2"/>
        <v>2.8838894760682479</v>
      </c>
      <c r="N8">
        <v>20.155999999999999</v>
      </c>
      <c r="O8">
        <f t="shared" si="3"/>
        <v>1.4444612209975247</v>
      </c>
      <c r="P8">
        <v>20.376000000000001</v>
      </c>
      <c r="Q8">
        <f t="shared" si="4"/>
        <v>2.5517137248980788</v>
      </c>
      <c r="R8">
        <v>20.988</v>
      </c>
      <c r="S8">
        <f t="shared" si="5"/>
        <v>5.6318888721123272</v>
      </c>
    </row>
    <row r="9" spans="1:19" x14ac:dyDescent="0.25">
      <c r="C9">
        <v>3</v>
      </c>
      <c r="D9" s="2">
        <v>13.759</v>
      </c>
      <c r="E9" s="2">
        <f t="shared" si="0"/>
        <v>0</v>
      </c>
      <c r="F9" s="2"/>
      <c r="G9" s="2"/>
      <c r="H9" s="2">
        <v>13.867000000000001</v>
      </c>
      <c r="I9" s="2">
        <f t="shared" si="1"/>
        <v>0.78494076604405905</v>
      </c>
      <c r="J9">
        <v>13.949</v>
      </c>
      <c r="K9">
        <f t="shared" si="6"/>
        <v>1.3809143106330453</v>
      </c>
      <c r="L9">
        <v>14.090999999999999</v>
      </c>
      <c r="M9">
        <f t="shared" si="2"/>
        <v>2.4129660585798405</v>
      </c>
      <c r="N9">
        <v>13.952999999999999</v>
      </c>
      <c r="O9">
        <f t="shared" si="3"/>
        <v>1.4099861908568982</v>
      </c>
      <c r="P9">
        <v>14.271000000000001</v>
      </c>
      <c r="Q9">
        <f t="shared" si="4"/>
        <v>3.7212006686532533</v>
      </c>
      <c r="R9">
        <v>14.55</v>
      </c>
      <c r="S9">
        <f t="shared" si="5"/>
        <v>5.7489643142670417</v>
      </c>
    </row>
    <row r="10" spans="1:19" x14ac:dyDescent="0.25">
      <c r="C10">
        <v>4</v>
      </c>
      <c r="D10" s="2">
        <v>11.164</v>
      </c>
      <c r="E10" s="2">
        <f t="shared" si="0"/>
        <v>0</v>
      </c>
      <c r="F10" s="2"/>
      <c r="G10" s="2"/>
      <c r="H10" s="2">
        <v>11.271000000000001</v>
      </c>
      <c r="I10" s="2">
        <f t="shared" si="1"/>
        <v>0.95843783590110831</v>
      </c>
      <c r="J10">
        <v>11.352</v>
      </c>
      <c r="K10">
        <f t="shared" si="6"/>
        <v>1.6839842350412084</v>
      </c>
      <c r="L10">
        <v>11.454000000000001</v>
      </c>
      <c r="M10">
        <f t="shared" si="2"/>
        <v>2.5976352561805811</v>
      </c>
      <c r="N10">
        <v>11.500999999999999</v>
      </c>
      <c r="O10">
        <f t="shared" si="3"/>
        <v>3.0186313149408761</v>
      </c>
      <c r="P10">
        <v>11.534000000000001</v>
      </c>
      <c r="Q10">
        <f t="shared" si="4"/>
        <v>3.3142242923683369</v>
      </c>
      <c r="R10">
        <v>11.839</v>
      </c>
      <c r="S10">
        <f t="shared" si="5"/>
        <v>6.0462199928341107</v>
      </c>
    </row>
    <row r="11" spans="1:19" x14ac:dyDescent="0.25">
      <c r="B11">
        <v>2</v>
      </c>
      <c r="C11">
        <v>1</v>
      </c>
      <c r="D11" s="2">
        <v>28.97</v>
      </c>
      <c r="E11" s="2">
        <f t="shared" si="0"/>
        <v>0</v>
      </c>
      <c r="F11" s="2"/>
      <c r="G11" s="2"/>
      <c r="H11" s="2">
        <v>28.890999999999998</v>
      </c>
      <c r="I11" s="2">
        <f t="shared" si="1"/>
        <v>-0.27269589230239433</v>
      </c>
      <c r="J11">
        <v>28.849</v>
      </c>
      <c r="K11">
        <f t="shared" si="6"/>
        <v>-0.41767345529858346</v>
      </c>
      <c r="L11">
        <v>28.76</v>
      </c>
      <c r="M11">
        <f t="shared" si="2"/>
        <v>-0.72488781498101673</v>
      </c>
      <c r="N11">
        <v>29.067</v>
      </c>
      <c r="O11">
        <f t="shared" si="3"/>
        <v>0.33482913358646726</v>
      </c>
      <c r="P11">
        <v>29.581</v>
      </c>
      <c r="Q11">
        <f t="shared" si="4"/>
        <v>2.1090783569209464</v>
      </c>
      <c r="R11">
        <v>29.722000000000001</v>
      </c>
      <c r="S11">
        <f t="shared" si="5"/>
        <v>2.5957887469796361</v>
      </c>
    </row>
    <row r="12" spans="1:19" x14ac:dyDescent="0.25">
      <c r="C12">
        <v>2</v>
      </c>
      <c r="D12" s="2">
        <v>24.350999999999999</v>
      </c>
      <c r="E12" s="2">
        <f t="shared" si="0"/>
        <v>0</v>
      </c>
      <c r="F12" s="2"/>
      <c r="G12" s="2"/>
      <c r="H12" s="2">
        <v>24.425999999999998</v>
      </c>
      <c r="I12" s="2">
        <f t="shared" si="1"/>
        <v>0.30799556486385882</v>
      </c>
      <c r="J12">
        <v>24.524999999999999</v>
      </c>
      <c r="K12">
        <f t="shared" si="6"/>
        <v>0.71454971048416382</v>
      </c>
      <c r="L12">
        <v>25.181000000000001</v>
      </c>
      <c r="M12">
        <f t="shared" si="2"/>
        <v>3.4084842511601181</v>
      </c>
      <c r="N12">
        <v>25.145</v>
      </c>
      <c r="O12">
        <f t="shared" si="3"/>
        <v>3.260646380025463</v>
      </c>
      <c r="P12">
        <v>25.725999999999999</v>
      </c>
      <c r="Q12">
        <f t="shared" si="4"/>
        <v>5.6465853558375301</v>
      </c>
      <c r="R12">
        <v>25.27</v>
      </c>
      <c r="S12">
        <f t="shared" si="5"/>
        <v>3.7739723214652372</v>
      </c>
    </row>
    <row r="13" spans="1:19" x14ac:dyDescent="0.25">
      <c r="C13">
        <v>3</v>
      </c>
      <c r="D13" s="2">
        <v>29.911000000000001</v>
      </c>
      <c r="E13" s="2">
        <f t="shared" si="0"/>
        <v>0</v>
      </c>
      <c r="F13" s="2"/>
      <c r="G13" s="2"/>
      <c r="H13" s="2">
        <v>30.138999999999999</v>
      </c>
      <c r="I13" s="2">
        <f t="shared" si="1"/>
        <v>0.76226137541372907</v>
      </c>
      <c r="J13">
        <v>29.917000000000002</v>
      </c>
      <c r="K13">
        <f t="shared" si="6"/>
        <v>2.0059509879317261E-2</v>
      </c>
      <c r="L13">
        <v>30.13</v>
      </c>
      <c r="M13">
        <f t="shared" si="2"/>
        <v>0.73217211059476028</v>
      </c>
      <c r="N13">
        <v>30.135999999999999</v>
      </c>
      <c r="O13">
        <f t="shared" si="3"/>
        <v>0.75223162047407754</v>
      </c>
      <c r="P13">
        <v>30.577000000000002</v>
      </c>
      <c r="Q13">
        <f t="shared" si="4"/>
        <v>2.2266055966032638</v>
      </c>
      <c r="R13">
        <v>31.332999999999998</v>
      </c>
      <c r="S13">
        <f t="shared" si="5"/>
        <v>4.7541038413961445</v>
      </c>
    </row>
    <row r="14" spans="1:19" x14ac:dyDescent="0.25">
      <c r="C14">
        <v>4</v>
      </c>
      <c r="D14" s="2">
        <v>40.408000000000001</v>
      </c>
      <c r="E14" s="2">
        <f t="shared" si="0"/>
        <v>0</v>
      </c>
      <c r="F14" s="2"/>
      <c r="G14" s="2"/>
      <c r="H14" s="2">
        <v>40.478000000000002</v>
      </c>
      <c r="I14" s="2">
        <f t="shared" si="1"/>
        <v>0.17323302316373201</v>
      </c>
      <c r="J14">
        <v>40.838000000000001</v>
      </c>
      <c r="K14">
        <f t="shared" si="6"/>
        <v>1.0641457137200661</v>
      </c>
      <c r="L14">
        <v>42.168999999999997</v>
      </c>
      <c r="M14">
        <f t="shared" si="2"/>
        <v>4.3580479113046806</v>
      </c>
      <c r="N14">
        <v>42.466000000000001</v>
      </c>
      <c r="O14">
        <f t="shared" si="3"/>
        <v>5.0930508810136672</v>
      </c>
    </row>
    <row r="15" spans="1:19" x14ac:dyDescent="0.25">
      <c r="B15">
        <v>1</v>
      </c>
      <c r="C15">
        <v>1</v>
      </c>
      <c r="D15" s="2">
        <v>49.197000000000003</v>
      </c>
      <c r="E15" s="2">
        <f t="shared" si="0"/>
        <v>0</v>
      </c>
      <c r="F15" s="2"/>
      <c r="G15" s="2"/>
      <c r="H15" s="2">
        <v>48.734999999999999</v>
      </c>
      <c r="I15" s="2">
        <f t="shared" si="1"/>
        <v>-0.93908165132020827</v>
      </c>
      <c r="J15">
        <v>48.95</v>
      </c>
      <c r="K15">
        <f t="shared" si="6"/>
        <v>-0.50206313393093183</v>
      </c>
      <c r="L15">
        <v>48.835999999999999</v>
      </c>
      <c r="M15">
        <f t="shared" si="2"/>
        <v>-0.73378458036059158</v>
      </c>
      <c r="N15">
        <v>48.843000000000004</v>
      </c>
      <c r="O15">
        <f t="shared" si="3"/>
        <v>-0.71955607049210357</v>
      </c>
      <c r="P15">
        <v>49.072000000000003</v>
      </c>
      <c r="Q15">
        <f t="shared" si="4"/>
        <v>-0.25408053336585112</v>
      </c>
      <c r="R15">
        <v>50.267000000000003</v>
      </c>
      <c r="S15">
        <f t="shared" si="5"/>
        <v>2.1749293656117317</v>
      </c>
    </row>
    <row r="16" spans="1:19" x14ac:dyDescent="0.25">
      <c r="C16">
        <v>2</v>
      </c>
      <c r="D16" s="2">
        <v>69.391999999999996</v>
      </c>
      <c r="E16" s="2">
        <f t="shared" si="0"/>
        <v>0</v>
      </c>
      <c r="F16" s="2"/>
      <c r="G16" s="2"/>
      <c r="H16" s="2">
        <v>69.385999999999996</v>
      </c>
      <c r="I16" s="2">
        <f t="shared" si="1"/>
        <v>-8.6465298593481066E-3</v>
      </c>
      <c r="J16">
        <v>69.155000000000001</v>
      </c>
      <c r="K16">
        <f t="shared" si="6"/>
        <v>-0.34153792944431416</v>
      </c>
      <c r="L16">
        <v>69.188000000000002</v>
      </c>
      <c r="M16">
        <f t="shared" si="2"/>
        <v>-0.29398201521789247</v>
      </c>
      <c r="N16">
        <v>69.418999999999997</v>
      </c>
      <c r="O16">
        <f t="shared" si="3"/>
        <v>3.8909384367073585E-2</v>
      </c>
      <c r="P16">
        <v>70.921999999999997</v>
      </c>
      <c r="Q16">
        <f t="shared" si="4"/>
        <v>2.2048651141341935</v>
      </c>
      <c r="R16">
        <v>72.213999999999999</v>
      </c>
      <c r="S16">
        <f t="shared" si="5"/>
        <v>4.0667512105141839</v>
      </c>
    </row>
    <row r="17" spans="1:19" x14ac:dyDescent="0.25">
      <c r="C17">
        <v>3</v>
      </c>
      <c r="D17" s="2">
        <v>14.178000000000001</v>
      </c>
      <c r="E17" s="2">
        <f t="shared" si="0"/>
        <v>0</v>
      </c>
      <c r="F17" s="2"/>
      <c r="G17" s="2"/>
      <c r="H17" s="2">
        <v>14.026999999999999</v>
      </c>
      <c r="I17" s="2">
        <f t="shared" si="1"/>
        <v>-1.0650303286782474</v>
      </c>
      <c r="J17">
        <v>14.334</v>
      </c>
      <c r="K17">
        <f t="shared" si="6"/>
        <v>1.1002962336013411</v>
      </c>
      <c r="L17">
        <v>14.36</v>
      </c>
      <c r="M17">
        <f t="shared" si="2"/>
        <v>1.2836789392015646</v>
      </c>
      <c r="N17">
        <v>14.148</v>
      </c>
      <c r="O17">
        <f t="shared" si="3"/>
        <v>-0.21159542953873256</v>
      </c>
      <c r="P17">
        <v>14.849</v>
      </c>
      <c r="Q17">
        <f t="shared" si="4"/>
        <v>4.732684440682732</v>
      </c>
      <c r="R17">
        <v>14.974</v>
      </c>
      <c r="S17">
        <f t="shared" si="5"/>
        <v>5.6143320637607417</v>
      </c>
    </row>
    <row r="18" spans="1:19" x14ac:dyDescent="0.25">
      <c r="A18" t="s">
        <v>0</v>
      </c>
      <c r="B18">
        <v>4</v>
      </c>
      <c r="C18">
        <v>1</v>
      </c>
      <c r="D18" s="2"/>
      <c r="E18" s="2"/>
      <c r="F18" s="2"/>
      <c r="G18" s="2"/>
      <c r="H18" s="2"/>
      <c r="I18" s="2"/>
      <c r="J18">
        <v>26.58</v>
      </c>
      <c r="K18">
        <v>0</v>
      </c>
      <c r="L18">
        <v>26.998000000000001</v>
      </c>
      <c r="M18">
        <f>L18/(J18/100)-100</f>
        <v>1.5726109857035482</v>
      </c>
      <c r="N18">
        <v>27.234000000000002</v>
      </c>
      <c r="O18">
        <f>N18/($J18/100)-100</f>
        <v>2.4604966139955025</v>
      </c>
      <c r="P18">
        <v>27.18</v>
      </c>
      <c r="Q18">
        <f>P18/($J18/100)-100</f>
        <v>2.2573363431151279</v>
      </c>
      <c r="R18">
        <v>27.376000000000001</v>
      </c>
      <c r="S18">
        <f>R18/($J18/100)-100</f>
        <v>2.9947328818660708</v>
      </c>
    </row>
    <row r="19" spans="1:19" x14ac:dyDescent="0.25">
      <c r="C19">
        <v>2</v>
      </c>
      <c r="J19">
        <v>17.649000000000001</v>
      </c>
      <c r="K19">
        <v>0</v>
      </c>
      <c r="L19">
        <v>17.914000000000001</v>
      </c>
      <c r="M19">
        <f>L19/(J19/100)-100</f>
        <v>1.5015015015015081</v>
      </c>
      <c r="N19">
        <v>17.934000000000001</v>
      </c>
      <c r="O19">
        <f>N19/($J19/100)-100</f>
        <v>1.614822369539354</v>
      </c>
      <c r="P19">
        <v>17.872</v>
      </c>
      <c r="Q19">
        <f>P19/($J19/100)-100</f>
        <v>1.2635276786220118</v>
      </c>
      <c r="R19">
        <v>18.082999999999998</v>
      </c>
      <c r="S19">
        <f>R19/($J19/100)-100</f>
        <v>2.4590628364213103</v>
      </c>
    </row>
    <row r="20" spans="1:19" x14ac:dyDescent="0.25">
      <c r="C20">
        <v>3</v>
      </c>
      <c r="J20">
        <v>63.832000000000001</v>
      </c>
      <c r="K20">
        <v>0</v>
      </c>
      <c r="L20">
        <v>64.727000000000004</v>
      </c>
      <c r="M20">
        <f>L20/(J20/100)-100</f>
        <v>1.4021180599072665</v>
      </c>
      <c r="N20">
        <v>63.807000000000002</v>
      </c>
      <c r="O20">
        <f>N20/($J20/100)-100</f>
        <v>-3.9165308935949383E-2</v>
      </c>
      <c r="P20">
        <v>64.347999999999999</v>
      </c>
      <c r="Q20">
        <f>P20/($J20/100)-100</f>
        <v>0.80837197643815273</v>
      </c>
      <c r="R20">
        <v>65.466999999999999</v>
      </c>
      <c r="S20">
        <f>R20/($J20/100)-100</f>
        <v>2.5614112044115842</v>
      </c>
    </row>
    <row r="21" spans="1:19" x14ac:dyDescent="0.25">
      <c r="C21">
        <v>4</v>
      </c>
      <c r="J21">
        <v>19.446000000000002</v>
      </c>
      <c r="K21">
        <v>0</v>
      </c>
      <c r="L21">
        <v>19.277999999999999</v>
      </c>
      <c r="M21">
        <f>L21/(J21/100)-100</f>
        <v>-0.86393088552917163</v>
      </c>
      <c r="N21">
        <v>19.231000000000002</v>
      </c>
      <c r="O21">
        <f>N21/($J21/100)-100</f>
        <v>-1.1056258356474302</v>
      </c>
      <c r="P21">
        <v>19.454999999999998</v>
      </c>
      <c r="Q21">
        <f>P21/($J21/100)-100</f>
        <v>4.6282011724755989E-2</v>
      </c>
      <c r="R21">
        <v>19.678999999999998</v>
      </c>
      <c r="S21">
        <f>R21/($J21/100)-100</f>
        <v>1.1981898590969706</v>
      </c>
    </row>
    <row r="22" spans="1:19" x14ac:dyDescent="0.25">
      <c r="C22">
        <v>5</v>
      </c>
      <c r="J22">
        <v>41.695999999999998</v>
      </c>
      <c r="K22">
        <v>0</v>
      </c>
      <c r="L22">
        <v>41.996000000000002</v>
      </c>
      <c r="M22">
        <f>L22/(J22/100)-100</f>
        <v>0.71949347659248986</v>
      </c>
      <c r="N22">
        <v>41.353000000000002</v>
      </c>
      <c r="O22">
        <f>N22/($J22/100)-100</f>
        <v>-0.82262087490406088</v>
      </c>
      <c r="P22">
        <v>41.654000000000003</v>
      </c>
      <c r="Q22">
        <f>P22/($J22/100)-100</f>
        <v>-0.10072908672293579</v>
      </c>
      <c r="R22">
        <v>43.267000000000003</v>
      </c>
      <c r="S22">
        <f>R22/($J22/100)-100</f>
        <v>3.7677475057559491</v>
      </c>
    </row>
    <row r="23" spans="1:19" x14ac:dyDescent="0.25">
      <c r="B23">
        <v>3</v>
      </c>
      <c r="C23">
        <v>1</v>
      </c>
      <c r="J23">
        <v>7.1870000000000003</v>
      </c>
      <c r="K23">
        <v>0</v>
      </c>
      <c r="L23">
        <v>7.1870000000000003</v>
      </c>
      <c r="M23">
        <f>L23/(J23/100)-100</f>
        <v>0</v>
      </c>
      <c r="N23">
        <v>7.1689999999999996</v>
      </c>
      <c r="O23">
        <f>N23/($J23/100)-100</f>
        <v>-0.25045220537082002</v>
      </c>
      <c r="P23">
        <v>7.2030000000000003</v>
      </c>
      <c r="Q23">
        <f>P23/($J23/100)-100</f>
        <v>0.22262418255182581</v>
      </c>
      <c r="R23">
        <v>7.41</v>
      </c>
      <c r="S23">
        <f>R23/($J23/100)-100</f>
        <v>3.1028245443161211</v>
      </c>
    </row>
    <row r="24" spans="1:19" x14ac:dyDescent="0.25">
      <c r="C24">
        <v>2</v>
      </c>
      <c r="N24">
        <v>27.745000000000001</v>
      </c>
      <c r="O24">
        <v>0</v>
      </c>
      <c r="P24">
        <v>27.564</v>
      </c>
      <c r="Q24">
        <f>P24/($N24/100)-100</f>
        <v>-0.65236979635972148</v>
      </c>
      <c r="R24">
        <v>28.25</v>
      </c>
      <c r="S24">
        <f>R24/($N24/100)-100</f>
        <v>1.8201477743737513</v>
      </c>
    </row>
    <row r="25" spans="1:19" x14ac:dyDescent="0.25">
      <c r="C25">
        <v>3</v>
      </c>
      <c r="J25">
        <v>23.166</v>
      </c>
      <c r="K25">
        <v>0</v>
      </c>
      <c r="L25">
        <v>23.087</v>
      </c>
      <c r="M25">
        <f>L25/(J25/100)-100</f>
        <v>-0.34101700768367493</v>
      </c>
      <c r="N25">
        <v>23.013000000000002</v>
      </c>
      <c r="O25">
        <f>N25/($J25/100)-100</f>
        <v>-0.66045066045064971</v>
      </c>
      <c r="P25">
        <v>23.178999999999998</v>
      </c>
      <c r="Q25">
        <f>P25/($J25/100)-100</f>
        <v>5.6116722783386308E-2</v>
      </c>
      <c r="R25">
        <v>23.437999999999999</v>
      </c>
      <c r="S25">
        <f>R25/($J25/100)-100</f>
        <v>1.1741345074678406</v>
      </c>
    </row>
    <row r="26" spans="1:19" x14ac:dyDescent="0.25">
      <c r="C26">
        <v>4</v>
      </c>
      <c r="J26">
        <v>63.374000000000002</v>
      </c>
      <c r="K26">
        <v>0</v>
      </c>
      <c r="L26">
        <v>63.575000000000003</v>
      </c>
      <c r="M26">
        <f>L26/(J26/100)-100</f>
        <v>0.31716476788589887</v>
      </c>
      <c r="N26">
        <v>63.741999999999997</v>
      </c>
      <c r="O26">
        <f>N26/($J26/100)-100</f>
        <v>0.58067977403982241</v>
      </c>
      <c r="P26">
        <v>64.614999999999995</v>
      </c>
      <c r="Q26">
        <f>P26/($J26/100)-100</f>
        <v>1.9582163032158206</v>
      </c>
      <c r="R26">
        <v>65.887</v>
      </c>
      <c r="S26">
        <f>R26/($J26/100)-100</f>
        <v>3.9653485656578482</v>
      </c>
    </row>
    <row r="27" spans="1:19" x14ac:dyDescent="0.25">
      <c r="C27">
        <v>5</v>
      </c>
      <c r="J27">
        <v>33.173999999999999</v>
      </c>
      <c r="K27">
        <v>0</v>
      </c>
      <c r="L27">
        <v>33.405999999999999</v>
      </c>
      <c r="M27">
        <f>L27/(J27/100)-100</f>
        <v>0.6993428588653785</v>
      </c>
      <c r="N27">
        <v>33.710999999999999</v>
      </c>
      <c r="O27">
        <f>N27/($J27/100)-100</f>
        <v>1.6187375655633929</v>
      </c>
      <c r="P27">
        <v>34.44</v>
      </c>
      <c r="Q27">
        <f>P27/($J27/100)-100</f>
        <v>3.8162416350153734</v>
      </c>
      <c r="R27">
        <v>34.323999999999998</v>
      </c>
      <c r="S27">
        <f>R27/($J27/100)-100</f>
        <v>3.4665702055826841</v>
      </c>
    </row>
    <row r="28" spans="1:19" x14ac:dyDescent="0.25">
      <c r="B28">
        <v>2</v>
      </c>
      <c r="C28">
        <v>1</v>
      </c>
      <c r="J28">
        <v>19.693000000000001</v>
      </c>
      <c r="K28">
        <v>0</v>
      </c>
      <c r="L28">
        <v>19.507000000000001</v>
      </c>
      <c r="M28">
        <f>L28/(J28/100)-100</f>
        <v>-0.94449804499060974</v>
      </c>
      <c r="N28">
        <v>19.396999999999998</v>
      </c>
      <c r="O28">
        <f>N28/($J28/100)-100</f>
        <v>-1.5030721576194708</v>
      </c>
      <c r="P28">
        <v>19.893000000000001</v>
      </c>
      <c r="Q28">
        <f>P28/($J28/100)-100</f>
        <v>1.0155892956888124</v>
      </c>
      <c r="R28">
        <v>20.035</v>
      </c>
      <c r="S28">
        <f>R28/($J28/100)-100</f>
        <v>1.7366576956278834</v>
      </c>
    </row>
    <row r="29" spans="1:19" x14ac:dyDescent="0.25">
      <c r="C29">
        <v>2</v>
      </c>
      <c r="J29">
        <v>46.595999999999997</v>
      </c>
      <c r="K29">
        <v>0</v>
      </c>
      <c r="L29">
        <v>46.396999999999998</v>
      </c>
      <c r="M29">
        <f>L29/(J29/100)-100</f>
        <v>-0.42707528543222395</v>
      </c>
      <c r="N29">
        <v>47.110999999999997</v>
      </c>
      <c r="O29">
        <f>N29/($J29/100)-100</f>
        <v>1.1052450854150493</v>
      </c>
      <c r="P29">
        <v>47.79</v>
      </c>
      <c r="Q29">
        <f>P29/($J29/100)-100</f>
        <v>2.5624517125933579</v>
      </c>
      <c r="R29">
        <v>48.776000000000003</v>
      </c>
      <c r="S29">
        <f>R29/($J29/100)-100</f>
        <v>4.678513177096761</v>
      </c>
    </row>
    <row r="30" spans="1:19" x14ac:dyDescent="0.25">
      <c r="C30">
        <v>3</v>
      </c>
      <c r="J30">
        <v>20.975000000000001</v>
      </c>
      <c r="K30">
        <v>0</v>
      </c>
      <c r="L30">
        <v>21.448</v>
      </c>
      <c r="M30">
        <f>L30/(J30/100)-100</f>
        <v>2.2550655542312228</v>
      </c>
      <c r="N30">
        <v>21.484000000000002</v>
      </c>
      <c r="O30">
        <f>N30/($J30/100)-100</f>
        <v>2.4266984505363496</v>
      </c>
      <c r="P30">
        <v>21.623000000000001</v>
      </c>
      <c r="Q30">
        <f>P30/($J30/100)-100</f>
        <v>3.0893921334922538</v>
      </c>
      <c r="R30">
        <v>21.702999999999999</v>
      </c>
      <c r="S30">
        <f>R30/($J30/100)-100</f>
        <v>3.4707985697258579</v>
      </c>
    </row>
    <row r="31" spans="1:19" x14ac:dyDescent="0.25">
      <c r="C31">
        <v>4</v>
      </c>
      <c r="J31">
        <v>19.568000000000001</v>
      </c>
      <c r="K31">
        <v>0</v>
      </c>
      <c r="L31">
        <v>19.577999999999999</v>
      </c>
      <c r="M31">
        <f>L31/(J31/100)-100</f>
        <v>5.1103843008974081E-2</v>
      </c>
      <c r="N31">
        <v>19.66</v>
      </c>
      <c r="O31">
        <f>N31/($J31/100)-100</f>
        <v>0.47015535568273492</v>
      </c>
      <c r="P31">
        <v>19.946000000000002</v>
      </c>
      <c r="Q31">
        <f>P31/($J31/100)-100</f>
        <v>1.9317252657399848</v>
      </c>
      <c r="R31">
        <v>20.015999999999998</v>
      </c>
      <c r="S31">
        <f>R31/($J31/100)-100</f>
        <v>2.2894521668029171</v>
      </c>
    </row>
    <row r="32" spans="1:19" x14ac:dyDescent="0.25">
      <c r="C32">
        <v>5</v>
      </c>
      <c r="J32">
        <v>24.202000000000002</v>
      </c>
      <c r="K32">
        <v>0</v>
      </c>
      <c r="L32">
        <v>24.045000000000002</v>
      </c>
      <c r="M32">
        <f>L32/(J32/100)-100</f>
        <v>-0.64870671845301331</v>
      </c>
      <c r="N32">
        <v>24.202999999999999</v>
      </c>
      <c r="O32">
        <f>N32/($J32/100)-100</f>
        <v>4.1318899264410902E-3</v>
      </c>
      <c r="P32">
        <v>24.556999999999999</v>
      </c>
      <c r="Q32">
        <f>P32/($J32/100)-100</f>
        <v>1.4668209238905803</v>
      </c>
      <c r="R32">
        <v>24.791</v>
      </c>
      <c r="S32">
        <f>R32/($J32/100)-100</f>
        <v>2.4336831666804386</v>
      </c>
    </row>
    <row r="33" spans="1:19" x14ac:dyDescent="0.25">
      <c r="B33">
        <v>1</v>
      </c>
      <c r="C33">
        <v>1</v>
      </c>
      <c r="J33">
        <v>36.069000000000003</v>
      </c>
      <c r="K33">
        <v>0</v>
      </c>
      <c r="L33">
        <v>36.347999999999999</v>
      </c>
      <c r="M33">
        <f>L33/(J33/100)-100</f>
        <v>0.77351742493553388</v>
      </c>
      <c r="N33">
        <v>35.941000000000003</v>
      </c>
      <c r="O33">
        <f>N33/($J33/100)-100</f>
        <v>-0.35487537774820055</v>
      </c>
      <c r="P33">
        <v>36.941000000000003</v>
      </c>
      <c r="Q33">
        <f>P33/($J33/100)-100</f>
        <v>2.4175885109096527</v>
      </c>
      <c r="R33">
        <v>37.292999999999999</v>
      </c>
      <c r="S33">
        <f>R33/($J33/100)-100</f>
        <v>3.3934957997172006</v>
      </c>
    </row>
    <row r="34" spans="1:19" x14ac:dyDescent="0.25">
      <c r="C34">
        <v>2</v>
      </c>
      <c r="J34">
        <v>23.776</v>
      </c>
      <c r="K34">
        <v>0</v>
      </c>
      <c r="L34">
        <v>23.663</v>
      </c>
      <c r="M34">
        <f>L34/(J34/100)-100</f>
        <v>-0.47526917900403021</v>
      </c>
      <c r="N34">
        <v>23.472999999999999</v>
      </c>
      <c r="O34">
        <f>N34/($J34/100)-100</f>
        <v>-1.2743943472409143</v>
      </c>
      <c r="P34">
        <v>23.763999999999999</v>
      </c>
      <c r="Q34">
        <f>P34/($J34/100)-100</f>
        <v>-5.047106325706352E-2</v>
      </c>
      <c r="R34">
        <v>24.128</v>
      </c>
      <c r="S34">
        <f>R34/($J34/100)-100</f>
        <v>1.4804845222072629</v>
      </c>
    </row>
    <row r="35" spans="1:19" x14ac:dyDescent="0.25">
      <c r="C35">
        <v>3</v>
      </c>
      <c r="J35">
        <v>46.646999999999998</v>
      </c>
      <c r="K35">
        <v>0</v>
      </c>
      <c r="L35">
        <v>46.859000000000002</v>
      </c>
      <c r="M35">
        <f>L35/(J35/100)-100</f>
        <v>0.4544772439814011</v>
      </c>
      <c r="N35">
        <v>46.975000000000001</v>
      </c>
      <c r="O35">
        <f>N35/($J35/100)-100</f>
        <v>0.7031534718202721</v>
      </c>
      <c r="P35">
        <v>47.366999999999997</v>
      </c>
      <c r="Q35">
        <f>P35/($J35/100)-100</f>
        <v>1.5435076210688692</v>
      </c>
      <c r="R35">
        <v>48.24</v>
      </c>
      <c r="S35">
        <f>R35/($J35/100)-100</f>
        <v>3.4150106116149033</v>
      </c>
    </row>
    <row r="36" spans="1:19" x14ac:dyDescent="0.25">
      <c r="C36">
        <v>4</v>
      </c>
      <c r="J36">
        <v>36.164999999999999</v>
      </c>
      <c r="K36">
        <v>0</v>
      </c>
      <c r="L36">
        <v>36.079000000000001</v>
      </c>
      <c r="M36">
        <f>L36/(J36/100)-100</f>
        <v>-0.23779897691136398</v>
      </c>
      <c r="N36">
        <v>36.338000000000001</v>
      </c>
      <c r="O36">
        <f>N36/($J36/100)-100</f>
        <v>0.47836305820545988</v>
      </c>
      <c r="P36">
        <v>36.973999999999997</v>
      </c>
      <c r="Q36">
        <f>P36/($J36/100)-100</f>
        <v>2.2369694455965714</v>
      </c>
      <c r="R36">
        <v>37.807000000000002</v>
      </c>
      <c r="S36">
        <f>R36/($J36/100)-100</f>
        <v>4.5403013963777283</v>
      </c>
    </row>
    <row r="37" spans="1:19" x14ac:dyDescent="0.25">
      <c r="C37">
        <v>5</v>
      </c>
      <c r="J37">
        <v>23.765000000000001</v>
      </c>
      <c r="K37">
        <v>0</v>
      </c>
      <c r="L37">
        <v>23.475999999999999</v>
      </c>
      <c r="M37">
        <f>L37/(J37/100)-100</f>
        <v>-1.216074058489383</v>
      </c>
      <c r="N37">
        <v>23.402000000000001</v>
      </c>
      <c r="O37">
        <f>N37/($J37/100)-100</f>
        <v>-1.5274563433620898</v>
      </c>
      <c r="P37">
        <v>24.108000000000001</v>
      </c>
      <c r="Q37">
        <f>P37/($J37/100)-100</f>
        <v>1.443298969072174</v>
      </c>
      <c r="R37">
        <v>24.498000000000001</v>
      </c>
      <c r="S37">
        <f>R37/($J37/100)-100</f>
        <v>3.0843677677256522</v>
      </c>
    </row>
    <row r="38" spans="1:19" x14ac:dyDescent="0.25">
      <c r="A38" t="s">
        <v>11</v>
      </c>
      <c r="B38">
        <v>4</v>
      </c>
      <c r="C38">
        <v>1</v>
      </c>
      <c r="J38">
        <v>48.267000000000003</v>
      </c>
      <c r="K38">
        <v>0</v>
      </c>
      <c r="L38">
        <v>48.268000000000001</v>
      </c>
      <c r="M38">
        <f>L38/(J38/100)-100</f>
        <v>2.0718088963462833E-3</v>
      </c>
      <c r="N38">
        <v>48.515999999999998</v>
      </c>
      <c r="O38">
        <f>N38/($J38/100)-100</f>
        <v>0.51588041519049455</v>
      </c>
      <c r="P38">
        <v>49.213000000000001</v>
      </c>
      <c r="Q38">
        <f>P38/($J38/100)-100</f>
        <v>1.9599312159446356</v>
      </c>
      <c r="R38">
        <v>49.48</v>
      </c>
      <c r="S38">
        <f>R38/($J38/100)-100</f>
        <v>2.5131041912693775</v>
      </c>
    </row>
    <row r="39" spans="1:19" x14ac:dyDescent="0.25">
      <c r="C39">
        <v>2</v>
      </c>
      <c r="J39">
        <v>44.238999999999997</v>
      </c>
      <c r="K39">
        <v>0</v>
      </c>
      <c r="L39">
        <v>44.234000000000002</v>
      </c>
      <c r="M39">
        <f>L39/(J39/100)-100</f>
        <v>-1.1302244625767344E-2</v>
      </c>
      <c r="N39">
        <v>44.194000000000003</v>
      </c>
      <c r="O39">
        <f>N39/($J39/100)-100</f>
        <v>-0.10172020163203399</v>
      </c>
      <c r="R39">
        <v>45.311999999999998</v>
      </c>
      <c r="S39">
        <f>R39/($J39/100)-100</f>
        <v>2.4254616966929632</v>
      </c>
    </row>
    <row r="40" spans="1:19" x14ac:dyDescent="0.25">
      <c r="C40">
        <v>3</v>
      </c>
      <c r="J40">
        <v>28.324000000000002</v>
      </c>
      <c r="K40">
        <v>0</v>
      </c>
      <c r="L40">
        <v>28.183</v>
      </c>
      <c r="M40">
        <f>L40/(J40/100)-100</f>
        <v>-0.49781104363789552</v>
      </c>
      <c r="N40">
        <v>28.308</v>
      </c>
      <c r="O40">
        <f>N40/($J40/100)-100</f>
        <v>-5.6489196441177114E-2</v>
      </c>
      <c r="P40">
        <v>28.388999999999999</v>
      </c>
      <c r="Q40">
        <f>P40/($J40/100)-100</f>
        <v>0.22948736054229357</v>
      </c>
      <c r="R40">
        <v>29.382000000000001</v>
      </c>
      <c r="S40">
        <f>R40/($J40/100)-100</f>
        <v>3.7353481146730729</v>
      </c>
    </row>
    <row r="41" spans="1:19" x14ac:dyDescent="0.25">
      <c r="B41">
        <v>3</v>
      </c>
      <c r="C41">
        <v>1</v>
      </c>
      <c r="J41">
        <v>30.898</v>
      </c>
      <c r="K41">
        <v>0</v>
      </c>
      <c r="L41">
        <v>30.966999999999999</v>
      </c>
      <c r="M41">
        <f>L41/(J41/100)-100</f>
        <v>0.22331542494660539</v>
      </c>
      <c r="N41">
        <v>31.338999999999999</v>
      </c>
      <c r="O41">
        <f>N41/($J41/100)-100</f>
        <v>1.4272768463978309</v>
      </c>
      <c r="P41">
        <v>31.431000000000001</v>
      </c>
      <c r="Q41">
        <f>P41/($J41/100)-100</f>
        <v>1.7250307463266381</v>
      </c>
      <c r="R41">
        <v>32.170999999999999</v>
      </c>
      <c r="S41">
        <f>R41/($J41/100)-100</f>
        <v>4.1200077674930498</v>
      </c>
    </row>
    <row r="42" spans="1:19" x14ac:dyDescent="0.25">
      <c r="C42">
        <v>2</v>
      </c>
      <c r="J42">
        <v>62.372</v>
      </c>
      <c r="K42">
        <v>0</v>
      </c>
      <c r="L42">
        <v>62.905999999999999</v>
      </c>
      <c r="M42">
        <f>L42/(J42/100)-100</f>
        <v>0.85615340216763514</v>
      </c>
      <c r="N42">
        <v>63.618000000000002</v>
      </c>
      <c r="O42">
        <f>N42/($J42/100)-100</f>
        <v>1.9976912717244915</v>
      </c>
      <c r="P42">
        <v>64.164000000000001</v>
      </c>
      <c r="Q42">
        <f>P42/($J42/100)-100</f>
        <v>2.8730840761880216</v>
      </c>
      <c r="R42">
        <v>64.209999999999994</v>
      </c>
      <c r="S42">
        <f>R42/($J42/100)-100</f>
        <v>2.946835118322312</v>
      </c>
    </row>
    <row r="43" spans="1:19" x14ac:dyDescent="0.25">
      <c r="C43">
        <v>3</v>
      </c>
      <c r="J43">
        <v>11.788</v>
      </c>
      <c r="K43">
        <v>0</v>
      </c>
      <c r="L43">
        <v>11.855</v>
      </c>
      <c r="M43">
        <f>L43/(J43/100)-100</f>
        <v>0.56837461825585933</v>
      </c>
      <c r="N43">
        <v>11.932</v>
      </c>
      <c r="O43">
        <f>N43/($J43/100)-100</f>
        <v>1.2215812690872099</v>
      </c>
      <c r="P43">
        <v>11.930999999999999</v>
      </c>
      <c r="Q43">
        <f>P43/($J43/100)-100</f>
        <v>1.2130980658296551</v>
      </c>
      <c r="R43">
        <v>12.179</v>
      </c>
      <c r="S43">
        <f>R43/($J43/100)-100</f>
        <v>3.3169324737020673</v>
      </c>
    </row>
    <row r="44" spans="1:19" x14ac:dyDescent="0.25">
      <c r="C44">
        <v>4</v>
      </c>
      <c r="J44">
        <v>30.629000000000001</v>
      </c>
      <c r="K44">
        <v>0</v>
      </c>
      <c r="L44">
        <v>30.513000000000002</v>
      </c>
      <c r="M44">
        <f>L44/(J44/100)-100</f>
        <v>-0.37872604394527798</v>
      </c>
      <c r="N44">
        <v>30.626000000000001</v>
      </c>
      <c r="O44">
        <f>N44/($J44/100)-100</f>
        <v>-9.7946390675502926E-3</v>
      </c>
      <c r="P44">
        <v>31.015999999999998</v>
      </c>
      <c r="Q44">
        <f>P44/($J44/100)-100</f>
        <v>1.2635084397139877</v>
      </c>
      <c r="R44">
        <v>31.65</v>
      </c>
      <c r="S44">
        <f>R44/($J44/100)-100</f>
        <v>3.3334421626562971</v>
      </c>
    </row>
    <row r="45" spans="1:19" x14ac:dyDescent="0.25">
      <c r="C45">
        <v>5</v>
      </c>
      <c r="J45">
        <v>18.347999999999999</v>
      </c>
      <c r="K45">
        <v>0</v>
      </c>
      <c r="L45">
        <v>18.666</v>
      </c>
      <c r="M45">
        <f>L45/(J45/100)-100</f>
        <v>1.7331589274035508</v>
      </c>
      <c r="N45">
        <v>18.626999999999999</v>
      </c>
      <c r="O45">
        <f>N45/($J45/100)-100</f>
        <v>1.5206017004578172</v>
      </c>
      <c r="P45">
        <v>18.510999999999999</v>
      </c>
      <c r="Q45">
        <f>P45/($J45/100)-100</f>
        <v>0.88838020492697467</v>
      </c>
      <c r="R45">
        <v>18.884</v>
      </c>
      <c r="S45">
        <f>R45/($J45/100)-100</f>
        <v>2.921299324177042</v>
      </c>
    </row>
    <row r="46" spans="1:19" x14ac:dyDescent="0.25">
      <c r="B46">
        <v>2</v>
      </c>
      <c r="C46">
        <v>1</v>
      </c>
      <c r="J46">
        <v>19.591999999999999</v>
      </c>
      <c r="K46">
        <v>0</v>
      </c>
      <c r="L46">
        <v>19.606000000000002</v>
      </c>
      <c r="M46">
        <f>L46/(J46/100)-100</f>
        <v>7.1457737852199443E-2</v>
      </c>
      <c r="N46">
        <v>19.719000000000001</v>
      </c>
      <c r="O46">
        <f>N46/($J46/100)-100</f>
        <v>0.64822376480196908</v>
      </c>
      <c r="P46">
        <v>20.141999999999999</v>
      </c>
      <c r="Q46">
        <f>P46/($J46/100)-100</f>
        <v>2.8072682727644036</v>
      </c>
      <c r="R46">
        <v>20.353000000000002</v>
      </c>
      <c r="S46">
        <f>R46/($J46/100)-100</f>
        <v>3.8842384646794841</v>
      </c>
    </row>
    <row r="47" spans="1:19" x14ac:dyDescent="0.25">
      <c r="C47">
        <v>2</v>
      </c>
      <c r="J47">
        <v>33.442999999999998</v>
      </c>
      <c r="K47">
        <v>0</v>
      </c>
      <c r="L47">
        <v>33.43</v>
      </c>
      <c r="M47">
        <f>L47/(J47/100)-100</f>
        <v>-3.887211075561936E-2</v>
      </c>
      <c r="N47">
        <v>33.609000000000002</v>
      </c>
      <c r="O47">
        <f>N47/($J47/100)-100</f>
        <v>0.49636695272553766</v>
      </c>
      <c r="P47">
        <v>33.567</v>
      </c>
      <c r="Q47">
        <f>P47/($J47/100)-100</f>
        <v>0.37078013336123661</v>
      </c>
      <c r="R47">
        <v>34.47</v>
      </c>
      <c r="S47">
        <f>R47/($J47/100)-100</f>
        <v>3.0708967496935031</v>
      </c>
    </row>
    <row r="48" spans="1:19" x14ac:dyDescent="0.25">
      <c r="B48">
        <v>1</v>
      </c>
      <c r="C48">
        <v>1</v>
      </c>
      <c r="J48">
        <v>39.872</v>
      </c>
      <c r="K48">
        <v>0</v>
      </c>
      <c r="L48">
        <v>39.805999999999997</v>
      </c>
      <c r="M48">
        <f>L48/(J48/100)-100</f>
        <v>-0.16552969502409098</v>
      </c>
      <c r="N48">
        <v>39.945999999999998</v>
      </c>
      <c r="O48">
        <f>N48/($J48/100)-100</f>
        <v>0.18559390048153546</v>
      </c>
      <c r="P48">
        <v>40.067999999999998</v>
      </c>
      <c r="Q48">
        <f>P48/($J48/100)-100</f>
        <v>0.49157303370785144</v>
      </c>
      <c r="R48">
        <v>40.795999999999999</v>
      </c>
      <c r="S48">
        <f>R48/($J48/100)-100</f>
        <v>2.3174157303370748</v>
      </c>
    </row>
    <row r="49" spans="1:19" x14ac:dyDescent="0.25">
      <c r="C49">
        <v>2</v>
      </c>
      <c r="J49">
        <v>20.431000000000001</v>
      </c>
      <c r="K49">
        <v>0</v>
      </c>
      <c r="L49">
        <v>20.800999999999998</v>
      </c>
      <c r="M49">
        <f>L49/(J49/100)-100</f>
        <v>1.8109735206303981</v>
      </c>
      <c r="N49">
        <v>20.861000000000001</v>
      </c>
      <c r="O49">
        <f>N49/($J49/100)-100</f>
        <v>2.1046449023542522</v>
      </c>
      <c r="P49">
        <v>20.734999999999999</v>
      </c>
      <c r="Q49">
        <f>P49/($J49/100)-100</f>
        <v>1.4879350007341685</v>
      </c>
      <c r="R49">
        <v>20.988</v>
      </c>
      <c r="S49">
        <f>R49/($J49/100)-100</f>
        <v>2.7262493270030745</v>
      </c>
    </row>
    <row r="50" spans="1:19" x14ac:dyDescent="0.25">
      <c r="A50" t="s">
        <v>14</v>
      </c>
      <c r="B50">
        <v>4</v>
      </c>
      <c r="C50">
        <v>1</v>
      </c>
      <c r="D50">
        <v>39.363999999999997</v>
      </c>
      <c r="E50">
        <f>D50/($D50/100)-100</f>
        <v>0</v>
      </c>
      <c r="F50">
        <v>39.506</v>
      </c>
      <c r="G50">
        <f>F50/($D50/100)-100</f>
        <v>0.36073569759170709</v>
      </c>
      <c r="H50">
        <v>39.542000000000002</v>
      </c>
      <c r="I50">
        <f>H50/($D50/100)-100</f>
        <v>0.45218981810792513</v>
      </c>
    </row>
    <row r="51" spans="1:19" x14ac:dyDescent="0.25">
      <c r="C51">
        <v>2</v>
      </c>
      <c r="D51">
        <v>21.128</v>
      </c>
      <c r="E51">
        <f>D51/($D51/100)-100</f>
        <v>0</v>
      </c>
      <c r="F51">
        <v>21.021000000000001</v>
      </c>
      <c r="G51">
        <f>F51/($D51/100)-100</f>
        <v>-0.50643695569858949</v>
      </c>
      <c r="H51">
        <v>21.236999999999998</v>
      </c>
      <c r="I51">
        <f>H51/($D51/100)-100</f>
        <v>0.51590306702006217</v>
      </c>
    </row>
    <row r="52" spans="1:19" x14ac:dyDescent="0.25">
      <c r="C52">
        <v>3</v>
      </c>
      <c r="D52">
        <v>43.268000000000001</v>
      </c>
      <c r="E52">
        <f>D52/($D52/100)-100</f>
        <v>0</v>
      </c>
      <c r="F52">
        <v>43.054000000000002</v>
      </c>
      <c r="G52">
        <f>F52/($D52/100)-100</f>
        <v>-0.4945918461680634</v>
      </c>
      <c r="H52">
        <v>43.222000000000001</v>
      </c>
      <c r="I52">
        <f>H52/($D52/100)-100</f>
        <v>-0.10631413515761778</v>
      </c>
    </row>
    <row r="53" spans="1:19" x14ac:dyDescent="0.25">
      <c r="C53">
        <v>4</v>
      </c>
      <c r="D53">
        <v>38.244999999999997</v>
      </c>
      <c r="E53">
        <f>D53/($D53/100)-100</f>
        <v>0</v>
      </c>
      <c r="F53">
        <v>38.188000000000002</v>
      </c>
      <c r="G53">
        <f>F53/($D53/100)-100</f>
        <v>-0.14903909007711036</v>
      </c>
      <c r="H53">
        <v>38.298999999999999</v>
      </c>
      <c r="I53">
        <f>H53/($D53/100)-100</f>
        <v>0.14119492744150364</v>
      </c>
    </row>
    <row r="54" spans="1:19" x14ac:dyDescent="0.25">
      <c r="C54">
        <v>5</v>
      </c>
      <c r="D54">
        <v>38.789000000000001</v>
      </c>
      <c r="E54">
        <f>D54/($D54/100)-100</f>
        <v>0</v>
      </c>
      <c r="F54">
        <v>38.606999999999999</v>
      </c>
      <c r="G54">
        <f>F54/($D54/100)-100</f>
        <v>-0.46920518703757352</v>
      </c>
      <c r="H54">
        <v>38.835000000000001</v>
      </c>
      <c r="I54">
        <f>H54/($D54/100)-100</f>
        <v>0.11859032199851072</v>
      </c>
    </row>
    <row r="55" spans="1:19" x14ac:dyDescent="0.25">
      <c r="B55">
        <v>3</v>
      </c>
      <c r="C55">
        <v>1</v>
      </c>
      <c r="D55">
        <v>34.917000000000002</v>
      </c>
      <c r="E55">
        <f>D55/($D55/100)-100</f>
        <v>0</v>
      </c>
      <c r="F55">
        <v>34.837000000000003</v>
      </c>
      <c r="G55">
        <f>F55/($D55/100)-100</f>
        <v>-0.22911475785434732</v>
      </c>
      <c r="H55">
        <v>35.009</v>
      </c>
      <c r="I55">
        <f>H55/($D55/100)-100</f>
        <v>0.2634819715324852</v>
      </c>
    </row>
    <row r="56" spans="1:19" x14ac:dyDescent="0.25">
      <c r="C56">
        <v>2</v>
      </c>
      <c r="D56">
        <v>27.498000000000001</v>
      </c>
      <c r="E56">
        <f>D56/($D56/100)-100</f>
        <v>0</v>
      </c>
      <c r="F56">
        <v>28.253</v>
      </c>
      <c r="G56">
        <f>F56/($D56/100)-100</f>
        <v>2.7456542293984967</v>
      </c>
      <c r="H56">
        <v>28.393000000000001</v>
      </c>
      <c r="I56">
        <f>H56/($D56/100)-100</f>
        <v>3.2547821659757119</v>
      </c>
    </row>
    <row r="57" spans="1:19" x14ac:dyDescent="0.25">
      <c r="B57">
        <v>2</v>
      </c>
      <c r="C57">
        <v>1</v>
      </c>
      <c r="D57">
        <v>24.745999999999999</v>
      </c>
      <c r="E57">
        <f>D57/($D57/100)-100</f>
        <v>0</v>
      </c>
      <c r="F57">
        <v>25.402999999999999</v>
      </c>
      <c r="G57">
        <f>F57/($D57/100)-100</f>
        <v>2.6549745413400103</v>
      </c>
      <c r="H57">
        <v>24.460999999999999</v>
      </c>
      <c r="I57">
        <f>H57/($D57/100)-100</f>
        <v>-1.151701285056177</v>
      </c>
    </row>
    <row r="58" spans="1:19" x14ac:dyDescent="0.25">
      <c r="C58">
        <v>2</v>
      </c>
      <c r="D58">
        <v>15.754</v>
      </c>
      <c r="E58">
        <f>D58/($D58/100)-100</f>
        <v>0</v>
      </c>
      <c r="F58">
        <v>15.733000000000001</v>
      </c>
      <c r="G58">
        <f>F58/($D58/100)-100</f>
        <v>-0.13329947949725351</v>
      </c>
      <c r="H58">
        <v>16.039000000000001</v>
      </c>
      <c r="I58">
        <f>H58/($D58/100)-100</f>
        <v>1.8090643646058311</v>
      </c>
    </row>
    <row r="59" spans="1:19" x14ac:dyDescent="0.25">
      <c r="C59">
        <v>3</v>
      </c>
      <c r="D59">
        <v>25.823</v>
      </c>
      <c r="E59">
        <f>D59/($D59/100)-100</f>
        <v>0</v>
      </c>
      <c r="F59">
        <v>25.306999999999999</v>
      </c>
      <c r="G59">
        <f>F59/($D59/100)-100</f>
        <v>-1.9982186422956403</v>
      </c>
      <c r="H59">
        <v>25.591000000000001</v>
      </c>
      <c r="I59">
        <f>H59/($D59/100)-100</f>
        <v>-0.89842388568330023</v>
      </c>
    </row>
    <row r="60" spans="1:19" x14ac:dyDescent="0.25">
      <c r="C60">
        <v>4</v>
      </c>
      <c r="D60">
        <v>26.699000000000002</v>
      </c>
      <c r="E60">
        <f>D60/($D60/100)-100</f>
        <v>0</v>
      </c>
      <c r="F60">
        <v>26.725999999999999</v>
      </c>
      <c r="G60">
        <f>F60/($D60/100)-100</f>
        <v>0.10112738304805191</v>
      </c>
      <c r="H60">
        <v>26.585999999999999</v>
      </c>
      <c r="I60">
        <f>H60/($D60/100)-100</f>
        <v>-0.42323682534927798</v>
      </c>
    </row>
    <row r="61" spans="1:19" x14ac:dyDescent="0.25">
      <c r="C61">
        <v>5</v>
      </c>
      <c r="D61">
        <v>49.518000000000001</v>
      </c>
      <c r="E61">
        <f>D61/($D61/100)-100</f>
        <v>0</v>
      </c>
      <c r="F61">
        <v>49.954000000000001</v>
      </c>
      <c r="G61">
        <f>F61/($D61/100)-100</f>
        <v>0.88048790338866922</v>
      </c>
      <c r="H61">
        <v>49.78</v>
      </c>
      <c r="I61">
        <f>H61/($D61/100)-100</f>
        <v>0.52910052910053196</v>
      </c>
    </row>
    <row r="62" spans="1:19" x14ac:dyDescent="0.25">
      <c r="B62">
        <v>1</v>
      </c>
      <c r="C62">
        <v>1</v>
      </c>
      <c r="D62">
        <v>37.877000000000002</v>
      </c>
      <c r="E62">
        <f>D62/($D62/100)-100</f>
        <v>0</v>
      </c>
      <c r="F62">
        <v>37.886000000000003</v>
      </c>
      <c r="G62">
        <f>F62/($D62/100)-100</f>
        <v>2.3761121524927376E-2</v>
      </c>
      <c r="H62">
        <v>37.661000000000001</v>
      </c>
      <c r="I62">
        <f>H62/($D62/100)-100</f>
        <v>-0.57026691659847017</v>
      </c>
    </row>
    <row r="63" spans="1:19" x14ac:dyDescent="0.25">
      <c r="C63">
        <v>2</v>
      </c>
      <c r="D63">
        <v>19.940000000000001</v>
      </c>
      <c r="E63">
        <f>D63/($D63/100)-100</f>
        <v>0</v>
      </c>
      <c r="F63">
        <v>19.722000000000001</v>
      </c>
      <c r="G63">
        <f>F63/($D63/100)-100</f>
        <v>-1.0932798395185586</v>
      </c>
      <c r="H63">
        <v>19.902999999999999</v>
      </c>
      <c r="I63">
        <f>H63/($D63/100)-100</f>
        <v>-0.18555667001004394</v>
      </c>
    </row>
    <row r="64" spans="1:19" x14ac:dyDescent="0.25">
      <c r="C64">
        <v>3</v>
      </c>
      <c r="D64">
        <v>18.346</v>
      </c>
      <c r="E64">
        <f>D64/($D64/100)-100</f>
        <v>0</v>
      </c>
      <c r="F64">
        <v>18.13</v>
      </c>
      <c r="G64">
        <f>F64/($D64/100)-100</f>
        <v>-1.1773683636760239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HEPES</vt:lpstr>
      <vt:lpstr>MES</vt:lpstr>
      <vt:lpstr>MES_HEPES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</dc:creator>
  <cp:lastModifiedBy>Valerie</cp:lastModifiedBy>
  <dcterms:created xsi:type="dcterms:W3CDTF">2026-03-11T09:21:29Z</dcterms:created>
  <dcterms:modified xsi:type="dcterms:W3CDTF">2026-03-11T09:48:46Z</dcterms:modified>
</cp:coreProperties>
</file>